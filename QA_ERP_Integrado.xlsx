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Resumen" sheetId="2" state="visible" r:id="rId2"/>
    <sheet name="Casos QA" sheetId="3" state="visible" r:id="rId3"/>
  </sheets>
  <definedNames>
    <definedName name="_xlnm._FilterDatabase" localSheetId="2" hidden="1">'Casos QA'!$A$1:$L$70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9" fontId="3" fillId="4" borderId="1" applyAlignment="1" pivotButton="0" quotePrefix="0" xfId="0">
      <alignment horizontal="center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bgColor rgb="00FFC7CE"/>
        </patternFill>
      </fill>
    </dxf>
    <dxf>
      <font>
        <name val="Arial"/>
        <b val="1"/>
        <color rgb="00006100"/>
      </font>
      <fill>
        <patternFill patternType="solid">
          <bgColor rgb="00C6EFCE"/>
        </patternFill>
      </fill>
    </dxf>
    <dxf>
      <font>
        <name val="Arial"/>
        <b val="1"/>
        <color rgb="009C5700"/>
      </font>
      <fill>
        <patternFill patternType="solid">
          <bgColor rgb="00FFEB9C"/>
        </patternFill>
      </fill>
    </dxf>
    <dxf>
      <font>
        <name val="Arial"/>
        <b val="1"/>
        <color rgb="00595959"/>
      </font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2">
      <c r="B2" s="1" t="inlineStr">
        <is>
          <t>Plan de pruebas QA — ERP Integrado</t>
        </is>
      </c>
    </row>
    <row r="3">
      <c r="B3" s="2" t="inlineStr">
        <is>
          <t>App local: http://localhost:5195  ·  Admin demo: admin@erp.com  ·  Cajero demo: CAJA1</t>
        </is>
      </c>
    </row>
    <row r="5" ht="32" customHeight="1">
      <c r="B5" s="3" t="inlineStr">
        <is>
          <t>Cómo usarlo</t>
        </is>
      </c>
      <c r="C5" s="4" t="inlineStr">
        <is>
          <t>Ve a la hoja 'Casos QA' y sigue los pasos de cada caso. Cambia la columna 'Estado' con la lista desplegable.</t>
        </is>
      </c>
    </row>
    <row r="6" ht="32" customHeight="1">
      <c r="B6" s="3" t="inlineStr">
        <is>
          <t>Estados</t>
        </is>
      </c>
      <c r="C6" s="4" t="inlineStr">
        <is>
          <t>Pendiente = falta probar · En proceso = se está probando / corrigiendo · Listo = pasó la prueba · Falla = no cumplió el resultado esperado.</t>
        </is>
      </c>
    </row>
    <row r="7" ht="32" customHeight="1">
      <c r="B7" s="3" t="inlineStr">
        <is>
          <t>Si algo falla</t>
        </is>
      </c>
      <c r="C7" s="4" t="inlineStr">
        <is>
          <t>Marca 'Falla' y anota en 'Resultado obtenido' qué pasó (mensaje de error, pantalla, captura). Cuando se corrija, pasa a 'En proceso' y luego a 'Listo'.</t>
        </is>
      </c>
    </row>
    <row r="8" ht="32" customHeight="1">
      <c r="B8" s="3" t="inlineStr">
        <is>
          <t>Colores</t>
        </is>
      </c>
      <c r="C8" s="4" t="inlineStr">
        <is>
          <t>La fila de Estado se colorea sola: gris = Pendiente, amarillo = En proceso, verde = Listo, rojo = Falla.</t>
        </is>
      </c>
    </row>
    <row r="9" ht="32" customHeight="1">
      <c r="B9" s="3" t="inlineStr">
        <is>
          <t>Resumen</t>
        </is>
      </c>
      <c r="C9" s="4" t="inlineStr">
        <is>
          <t>La hoja 'Resumen' calcula con fórmulas el avance total y por módulo; no hay que editarla.</t>
        </is>
      </c>
    </row>
    <row r="10" ht="32" customHeight="1">
      <c r="B10" s="3" t="inlineStr">
        <is>
          <t>Celdas a editar</t>
        </is>
      </c>
      <c r="C10" s="4" t="inlineStr">
        <is>
          <t>Estado, Resultado obtenido, Responsable, Fecha y Observaciones (columnas con encabezado azul claro). El resto es la definición del caso.</t>
        </is>
      </c>
    </row>
    <row r="11" ht="32" customHeight="1">
      <c r="B11" s="3" t="inlineStr">
        <is>
          <t>Ejemplo</t>
        </is>
      </c>
      <c r="C11" s="4" t="inlineStr">
        <is>
          <t>Fila de ejemplo: ID QA-001 — Estado 'Listo', Responsable 'María', Fecha 2026-10-29, Resultado obtenido 'Entró al index sin errores'.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Resumen de avance QA</t>
        </is>
      </c>
    </row>
    <row r="4">
      <c r="B4" s="5" t="inlineStr">
        <is>
          <t>Módulo</t>
        </is>
      </c>
      <c r="C4" s="5" t="inlineStr">
        <is>
          <t>Total</t>
        </is>
      </c>
      <c r="D4" s="5" t="inlineStr">
        <is>
          <t>Listo</t>
        </is>
      </c>
      <c r="E4" s="5" t="inlineStr">
        <is>
          <t>En proceso</t>
        </is>
      </c>
      <c r="F4" s="5" t="inlineStr">
        <is>
          <t>Falla</t>
        </is>
      </c>
      <c r="G4" s="5" t="inlineStr">
        <is>
          <t>Pendiente</t>
        </is>
      </c>
      <c r="H4" s="5" t="inlineStr">
        <is>
          <t>% Listo</t>
        </is>
      </c>
    </row>
    <row r="5">
      <c r="B5" s="6" t="inlineStr">
        <is>
          <t>Acceso y seguridad</t>
        </is>
      </c>
      <c r="C5" s="7">
        <f>COUNTIF('Casos QA'!$B$2:$B$70,B5)</f>
        <v/>
      </c>
      <c r="D5" s="7">
        <f>COUNTIFS('Casos QA'!$B$2:$B$70,$B5,'Casos QA'!$H$2:$H$70,"Listo")</f>
        <v/>
      </c>
      <c r="E5" s="7">
        <f>COUNTIFS('Casos QA'!$B$2:$B$70,$B5,'Casos QA'!$H$2:$H$70,"En proceso")</f>
        <v/>
      </c>
      <c r="F5" s="7">
        <f>COUNTIFS('Casos QA'!$B$2:$B$70,$B5,'Casos QA'!$H$2:$H$70,"Falla")</f>
        <v/>
      </c>
      <c r="G5" s="7">
        <f>COUNTIFS('Casos QA'!$B$2:$B$70,$B5,'Casos QA'!$H$2:$H$70,"Pendiente")</f>
        <v/>
      </c>
      <c r="H5" s="8">
        <f>IF(C5=0,0,D5/C5)</f>
        <v/>
      </c>
    </row>
    <row r="6">
      <c r="B6" s="6" t="inlineStr">
        <is>
          <t>Catálogo / Productos</t>
        </is>
      </c>
      <c r="C6" s="7">
        <f>COUNTIF('Casos QA'!$B$2:$B$70,B6)</f>
        <v/>
      </c>
      <c r="D6" s="7">
        <f>COUNTIFS('Casos QA'!$B$2:$B$70,$B6,'Casos QA'!$H$2:$H$70,"Listo")</f>
        <v/>
      </c>
      <c r="E6" s="7">
        <f>COUNTIFS('Casos QA'!$B$2:$B$70,$B6,'Casos QA'!$H$2:$H$70,"En proceso")</f>
        <v/>
      </c>
      <c r="F6" s="7">
        <f>COUNTIFS('Casos QA'!$B$2:$B$70,$B6,'Casos QA'!$H$2:$H$70,"Falla")</f>
        <v/>
      </c>
      <c r="G6" s="7">
        <f>COUNTIFS('Casos QA'!$B$2:$B$70,$B6,'Casos QA'!$H$2:$H$70,"Pendiente")</f>
        <v/>
      </c>
      <c r="H6" s="8">
        <f>IF(C6=0,0,D6/C6)</f>
        <v/>
      </c>
    </row>
    <row r="7">
      <c r="B7" s="6" t="inlineStr">
        <is>
          <t>Clientes</t>
        </is>
      </c>
      <c r="C7" s="7">
        <f>COUNTIF('Casos QA'!$B$2:$B$70,B7)</f>
        <v/>
      </c>
      <c r="D7" s="7">
        <f>COUNTIFS('Casos QA'!$B$2:$B$70,$B7,'Casos QA'!$H$2:$H$70,"Listo")</f>
        <v/>
      </c>
      <c r="E7" s="7">
        <f>COUNTIFS('Casos QA'!$B$2:$B$70,$B7,'Casos QA'!$H$2:$H$70,"En proceso")</f>
        <v/>
      </c>
      <c r="F7" s="7">
        <f>COUNTIFS('Casos QA'!$B$2:$B$70,$B7,'Casos QA'!$H$2:$H$70,"Falla")</f>
        <v/>
      </c>
      <c r="G7" s="7">
        <f>COUNTIFS('Casos QA'!$B$2:$B$70,$B7,'Casos QA'!$H$2:$H$70,"Pendiente")</f>
        <v/>
      </c>
      <c r="H7" s="8">
        <f>IF(C7=0,0,D7/C7)</f>
        <v/>
      </c>
    </row>
    <row r="8">
      <c r="B8" s="6" t="inlineStr">
        <is>
          <t>Proveedores</t>
        </is>
      </c>
      <c r="C8" s="7">
        <f>COUNTIF('Casos QA'!$B$2:$B$70,B8)</f>
        <v/>
      </c>
      <c r="D8" s="7">
        <f>COUNTIFS('Casos QA'!$B$2:$B$70,$B8,'Casos QA'!$H$2:$H$70,"Listo")</f>
        <v/>
      </c>
      <c r="E8" s="7">
        <f>COUNTIFS('Casos QA'!$B$2:$B$70,$B8,'Casos QA'!$H$2:$H$70,"En proceso")</f>
        <v/>
      </c>
      <c r="F8" s="7">
        <f>COUNTIFS('Casos QA'!$B$2:$B$70,$B8,'Casos QA'!$H$2:$H$70,"Falla")</f>
        <v/>
      </c>
      <c r="G8" s="7">
        <f>COUNTIFS('Casos QA'!$B$2:$B$70,$B8,'Casos QA'!$H$2:$H$70,"Pendiente")</f>
        <v/>
      </c>
      <c r="H8" s="8">
        <f>IF(C8=0,0,D8/C8)</f>
        <v/>
      </c>
    </row>
    <row r="9">
      <c r="B9" s="6" t="inlineStr">
        <is>
          <t>Compras</t>
        </is>
      </c>
      <c r="C9" s="7">
        <f>COUNTIF('Casos QA'!$B$2:$B$70,B9)</f>
        <v/>
      </c>
      <c r="D9" s="7">
        <f>COUNTIFS('Casos QA'!$B$2:$B$70,$B9,'Casos QA'!$H$2:$H$70,"Listo")</f>
        <v/>
      </c>
      <c r="E9" s="7">
        <f>COUNTIFS('Casos QA'!$B$2:$B$70,$B9,'Casos QA'!$H$2:$H$70,"En proceso")</f>
        <v/>
      </c>
      <c r="F9" s="7">
        <f>COUNTIFS('Casos QA'!$B$2:$B$70,$B9,'Casos QA'!$H$2:$H$70,"Falla")</f>
        <v/>
      </c>
      <c r="G9" s="7">
        <f>COUNTIFS('Casos QA'!$B$2:$B$70,$B9,'Casos QA'!$H$2:$H$70,"Pendiente")</f>
        <v/>
      </c>
      <c r="H9" s="8">
        <f>IF(C9=0,0,D9/C9)</f>
        <v/>
      </c>
    </row>
    <row r="10">
      <c r="B10" s="6" t="inlineStr">
        <is>
          <t>Inventario</t>
        </is>
      </c>
      <c r="C10" s="7">
        <f>COUNTIF('Casos QA'!$B$2:$B$70,B10)</f>
        <v/>
      </c>
      <c r="D10" s="7">
        <f>COUNTIFS('Casos QA'!$B$2:$B$70,$B10,'Casos QA'!$H$2:$H$70,"Listo")</f>
        <v/>
      </c>
      <c r="E10" s="7">
        <f>COUNTIFS('Casos QA'!$B$2:$B$70,$B10,'Casos QA'!$H$2:$H$70,"En proceso")</f>
        <v/>
      </c>
      <c r="F10" s="7">
        <f>COUNTIFS('Casos QA'!$B$2:$B$70,$B10,'Casos QA'!$H$2:$H$70,"Falla")</f>
        <v/>
      </c>
      <c r="G10" s="7">
        <f>COUNTIFS('Casos QA'!$B$2:$B$70,$B10,'Casos QA'!$H$2:$H$70,"Pendiente")</f>
        <v/>
      </c>
      <c r="H10" s="8">
        <f>IF(C10=0,0,D10/C10)</f>
        <v/>
      </c>
    </row>
    <row r="11">
      <c r="B11" s="6" t="inlineStr">
        <is>
          <t>Ventas</t>
        </is>
      </c>
      <c r="C11" s="7">
        <f>COUNTIF('Casos QA'!$B$2:$B$70,B11)</f>
        <v/>
      </c>
      <c r="D11" s="7">
        <f>COUNTIFS('Casos QA'!$B$2:$B$70,$B11,'Casos QA'!$H$2:$H$70,"Listo")</f>
        <v/>
      </c>
      <c r="E11" s="7">
        <f>COUNTIFS('Casos QA'!$B$2:$B$70,$B11,'Casos QA'!$H$2:$H$70,"En proceso")</f>
        <v/>
      </c>
      <c r="F11" s="7">
        <f>COUNTIFS('Casos QA'!$B$2:$B$70,$B11,'Casos QA'!$H$2:$H$70,"Falla")</f>
        <v/>
      </c>
      <c r="G11" s="7">
        <f>COUNTIFS('Casos QA'!$B$2:$B$70,$B11,'Casos QA'!$H$2:$H$70,"Pendiente")</f>
        <v/>
      </c>
      <c r="H11" s="8">
        <f>IF(C11=0,0,D11/C11)</f>
        <v/>
      </c>
    </row>
    <row r="12">
      <c r="B12" s="6" t="inlineStr">
        <is>
          <t>Cobranzas</t>
        </is>
      </c>
      <c r="C12" s="7">
        <f>COUNTIF('Casos QA'!$B$2:$B$70,B12)</f>
        <v/>
      </c>
      <c r="D12" s="7">
        <f>COUNTIFS('Casos QA'!$B$2:$B$70,$B12,'Casos QA'!$H$2:$H$70,"Listo")</f>
        <v/>
      </c>
      <c r="E12" s="7">
        <f>COUNTIFS('Casos QA'!$B$2:$B$70,$B12,'Casos QA'!$H$2:$H$70,"En proceso")</f>
        <v/>
      </c>
      <c r="F12" s="7">
        <f>COUNTIFS('Casos QA'!$B$2:$B$70,$B12,'Casos QA'!$H$2:$H$70,"Falla")</f>
        <v/>
      </c>
      <c r="G12" s="7">
        <f>COUNTIFS('Casos QA'!$B$2:$B$70,$B12,'Casos QA'!$H$2:$H$70,"Pendiente")</f>
        <v/>
      </c>
      <c r="H12" s="8">
        <f>IF(C12=0,0,D12/C12)</f>
        <v/>
      </c>
    </row>
    <row r="13">
      <c r="B13" s="6" t="inlineStr">
        <is>
          <t>Contabilidad</t>
        </is>
      </c>
      <c r="C13" s="7">
        <f>COUNTIF('Casos QA'!$B$2:$B$70,B13)</f>
        <v/>
      </c>
      <c r="D13" s="7">
        <f>COUNTIFS('Casos QA'!$B$2:$B$70,$B13,'Casos QA'!$H$2:$H$70,"Listo")</f>
        <v/>
      </c>
      <c r="E13" s="7">
        <f>COUNTIFS('Casos QA'!$B$2:$B$70,$B13,'Casos QA'!$H$2:$H$70,"En proceso")</f>
        <v/>
      </c>
      <c r="F13" s="7">
        <f>COUNTIFS('Casos QA'!$B$2:$B$70,$B13,'Casos QA'!$H$2:$H$70,"Falla")</f>
        <v/>
      </c>
      <c r="G13" s="7">
        <f>COUNTIFS('Casos QA'!$B$2:$B$70,$B13,'Casos QA'!$H$2:$H$70,"Pendiente")</f>
        <v/>
      </c>
      <c r="H13" s="8">
        <f>IF(C13=0,0,D13/C13)</f>
        <v/>
      </c>
    </row>
    <row r="14">
      <c r="B14" s="6" t="inlineStr">
        <is>
          <t>Integración contable</t>
        </is>
      </c>
      <c r="C14" s="7">
        <f>COUNTIF('Casos QA'!$B$2:$B$70,B14)</f>
        <v/>
      </c>
      <c r="D14" s="7">
        <f>COUNTIFS('Casos QA'!$B$2:$B$70,$B14,'Casos QA'!$H$2:$H$70,"Listo")</f>
        <v/>
      </c>
      <c r="E14" s="7">
        <f>COUNTIFS('Casos QA'!$B$2:$B$70,$B14,'Casos QA'!$H$2:$H$70,"En proceso")</f>
        <v/>
      </c>
      <c r="F14" s="7">
        <f>COUNTIFS('Casos QA'!$B$2:$B$70,$B14,'Casos QA'!$H$2:$H$70,"Falla")</f>
        <v/>
      </c>
      <c r="G14" s="7">
        <f>COUNTIFS('Casos QA'!$B$2:$B$70,$B14,'Casos QA'!$H$2:$H$70,"Pendiente")</f>
        <v/>
      </c>
      <c r="H14" s="8">
        <f>IF(C14=0,0,D14/C14)</f>
        <v/>
      </c>
    </row>
    <row r="15">
      <c r="B15" s="6" t="inlineStr">
        <is>
          <t>Flujo E2E</t>
        </is>
      </c>
      <c r="C15" s="7">
        <f>COUNTIF('Casos QA'!$B$2:$B$70,B15)</f>
        <v/>
      </c>
      <c r="D15" s="7">
        <f>COUNTIFS('Casos QA'!$B$2:$B$70,$B15,'Casos QA'!$H$2:$H$70,"Listo")</f>
        <v/>
      </c>
      <c r="E15" s="7">
        <f>COUNTIFS('Casos QA'!$B$2:$B$70,$B15,'Casos QA'!$H$2:$H$70,"En proceso")</f>
        <v/>
      </c>
      <c r="F15" s="7">
        <f>COUNTIFS('Casos QA'!$B$2:$B$70,$B15,'Casos QA'!$H$2:$H$70,"Falla")</f>
        <v/>
      </c>
      <c r="G15" s="7">
        <f>COUNTIFS('Casos QA'!$B$2:$B$70,$B15,'Casos QA'!$H$2:$H$70,"Pendiente")</f>
        <v/>
      </c>
      <c r="H15" s="8">
        <f>IF(C15=0,0,D15/C15)</f>
        <v/>
      </c>
    </row>
    <row r="16">
      <c r="B16" s="9" t="inlineStr">
        <is>
          <t>TOTAL</t>
        </is>
      </c>
      <c r="C16" s="10">
        <f>SUM(C5:C15)</f>
        <v/>
      </c>
      <c r="D16" s="10">
        <f>SUM(D5:D15)</f>
        <v/>
      </c>
      <c r="E16" s="10">
        <f>SUM(E5:E15)</f>
        <v/>
      </c>
      <c r="F16" s="10">
        <f>SUM(F5:F15)</f>
        <v/>
      </c>
      <c r="G16" s="10">
        <f>SUM(G5:G15)</f>
        <v/>
      </c>
      <c r="H16" s="11">
        <f>IF(C16=0,0,D16/C16)</f>
        <v/>
      </c>
    </row>
    <row r="18">
      <c r="B18" s="12" t="inlineStr">
        <is>
          <t>Los conteos se recalculan solos a partir de la columna Estado de 'Casos QA'.</t>
        </is>
      </c>
    </row>
  </sheetData>
  <conditionalFormatting sqref="F5:F16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34" customWidth="1" min="4" max="4"/>
    <col width="30" customWidth="1" min="5" max="5"/>
    <col width="52" customWidth="1" min="6" max="6"/>
    <col width="46" customWidth="1" min="7" max="7"/>
    <col width="13" customWidth="1" min="8" max="8"/>
    <col width="36" customWidth="1" min="9" max="9"/>
    <col width="16" customWidth="1" min="10" max="10"/>
    <col width="12" customWidth="1" min="11" max="11"/>
    <col width="30" customWidth="1" min="12" max="12"/>
  </cols>
  <sheetData>
    <row r="1" ht="30" customHeight="1">
      <c r="A1" s="13" t="inlineStr">
        <is>
          <t>ID</t>
        </is>
      </c>
      <c r="B1" s="13" t="inlineStr">
        <is>
          <t>Módulo</t>
        </is>
      </c>
      <c r="C1" s="13" t="inlineStr">
        <is>
          <t>Pantalla</t>
        </is>
      </c>
      <c r="D1" s="13" t="inlineStr">
        <is>
          <t>Caso de prueba</t>
        </is>
      </c>
      <c r="E1" s="13" t="inlineStr">
        <is>
          <t>Precondiciones</t>
        </is>
      </c>
      <c r="F1" s="13" t="inlineStr">
        <is>
          <t>Pasos</t>
        </is>
      </c>
      <c r="G1" s="13" t="inlineStr">
        <is>
          <t>Resultado esperado</t>
        </is>
      </c>
      <c r="H1" s="14" t="inlineStr">
        <is>
          <t>Estado</t>
        </is>
      </c>
      <c r="I1" s="14" t="inlineStr">
        <is>
          <t>Resultado obtenido</t>
        </is>
      </c>
      <c r="J1" s="14" t="inlineStr">
        <is>
          <t>Responsable</t>
        </is>
      </c>
      <c r="K1" s="14" t="inlineStr">
        <is>
          <t>Fecha</t>
        </is>
      </c>
      <c r="L1" s="14" t="inlineStr">
        <is>
          <t>Observaciones</t>
        </is>
      </c>
    </row>
    <row r="2">
      <c r="A2" s="15" t="inlineStr">
        <is>
          <t>QA-001</t>
        </is>
      </c>
      <c r="B2" s="16" t="inlineStr">
        <is>
          <t>Acceso y seguridad</t>
        </is>
      </c>
      <c r="C2" s="16" t="inlineStr">
        <is>
          <t>login.html</t>
        </is>
      </c>
      <c r="D2" s="16" t="inlineStr">
        <is>
          <t>Login con administrador</t>
        </is>
      </c>
      <c r="E2" s="16" t="inlineStr">
        <is>
          <t>API en marcha (http://localhost:5195)</t>
        </is>
      </c>
      <c r="F2" s="16" t="inlineStr">
        <is>
          <t>1. Abrir login. 2. Pulsar 'Usar' en Administrador. 3. Ingresar.</t>
        </is>
      </c>
      <c r="G2" s="16" t="inlineStr">
        <is>
          <t>Entra a index_erp.html y se ve la navbar con todos los módulos.</t>
        </is>
      </c>
      <c r="H2" s="15" t="inlineStr">
        <is>
          <t>Listo</t>
        </is>
      </c>
      <c r="I2" s="16" t="inlineStr">
        <is>
          <t>Entró al index sin errores (ejemplo)</t>
        </is>
      </c>
      <c r="J2" s="15" t="inlineStr">
        <is>
          <t>María</t>
        </is>
      </c>
      <c r="K2" s="17" t="n">
        <v>46324</v>
      </c>
      <c r="L2" s="16" t="n"/>
    </row>
    <row r="3">
      <c r="A3" s="15" t="inlineStr">
        <is>
          <t>QA-002</t>
        </is>
      </c>
      <c r="B3" s="16" t="inlineStr">
        <is>
          <t>Acceso y seguridad</t>
        </is>
      </c>
      <c r="C3" s="16" t="inlineStr">
        <is>
          <t>login.html</t>
        </is>
      </c>
      <c r="D3" s="16" t="inlineStr">
        <is>
          <t>Login con credenciales inválidas</t>
        </is>
      </c>
      <c r="E3" s="16" t="inlineStr">
        <is>
          <t>—</t>
        </is>
      </c>
      <c r="F3" s="16" t="inlineStr">
        <is>
          <t>Ingresar usuario válido con contraseña errónea.</t>
        </is>
      </c>
      <c r="G3" s="16" t="inlineStr">
        <is>
          <t>Mensaje de error claro; no se crea sesión.</t>
        </is>
      </c>
      <c r="H3" s="15" t="inlineStr">
        <is>
          <t>Pendiente</t>
        </is>
      </c>
      <c r="I3" s="16" t="n"/>
      <c r="J3" s="15" t="n"/>
      <c r="K3" s="17" t="n"/>
      <c r="L3" s="16" t="n"/>
    </row>
    <row r="4">
      <c r="A4" s="15" t="inlineStr">
        <is>
          <t>QA-003</t>
        </is>
      </c>
      <c r="B4" s="16" t="inlineStr">
        <is>
          <t>Acceso y seguridad</t>
        </is>
      </c>
      <c r="C4" s="16" t="inlineStr">
        <is>
          <t>login.html</t>
        </is>
      </c>
      <c r="D4" s="16" t="inlineStr">
        <is>
          <t>Login con cajero</t>
        </is>
      </c>
      <c r="E4" s="16" t="inlineStr">
        <is>
          <t>Usuario CAJA1 existe</t>
        </is>
      </c>
      <c r="F4" s="16" t="inlineStr">
        <is>
          <t>Ingresar con CAJA1 / CAJA123.</t>
        </is>
      </c>
      <c r="G4" s="16" t="inlineStr">
        <is>
          <t>Entra a la pantalla permitida (caja/ventas) con navbar limitada.</t>
        </is>
      </c>
      <c r="H4" s="15" t="inlineStr">
        <is>
          <t>Pendiente</t>
        </is>
      </c>
      <c r="I4" s="16" t="n"/>
      <c r="J4" s="15" t="n"/>
      <c r="K4" s="17" t="n"/>
      <c r="L4" s="16" t="n"/>
    </row>
    <row r="5">
      <c r="A5" s="15" t="inlineStr">
        <is>
          <t>QA-004</t>
        </is>
      </c>
      <c r="B5" s="16" t="inlineStr">
        <is>
          <t>Acceso y seguridad</t>
        </is>
      </c>
      <c r="C5" s="16" t="inlineStr">
        <is>
          <t>acceso_denegado.html</t>
        </is>
      </c>
      <c r="D5" s="16" t="inlineStr">
        <is>
          <t>Cajero no accede a pantallas administrativas</t>
        </is>
      </c>
      <c r="E5" s="16" t="inlineStr">
        <is>
          <t>Sesión de cajero</t>
        </is>
      </c>
      <c r="F5" s="16" t="inlineStr">
        <is>
          <t>Abrir por URL pantalla_admin_usuarios.html y pantalla_configuracion_integracion.html.</t>
        </is>
      </c>
      <c r="G5" s="16" t="inlineStr">
        <is>
          <t>Redirige a acceso_denegado.html; la API responde 403.</t>
        </is>
      </c>
      <c r="H5" s="15" t="inlineStr">
        <is>
          <t>Pendiente</t>
        </is>
      </c>
      <c r="I5" s="16" t="n"/>
      <c r="J5" s="15" t="n"/>
      <c r="K5" s="17" t="n"/>
      <c r="L5" s="16" t="n"/>
    </row>
    <row r="6">
      <c r="A6" s="15" t="inlineStr">
        <is>
          <t>QA-005</t>
        </is>
      </c>
      <c r="B6" s="16" t="inlineStr">
        <is>
          <t>Acceso y seguridad</t>
        </is>
      </c>
      <c r="C6" s="16" t="inlineStr">
        <is>
          <t>Todas</t>
        </is>
      </c>
      <c r="D6" s="16" t="inlineStr">
        <is>
          <t>Expiración de sesión</t>
        </is>
      </c>
      <c r="E6" s="16" t="inlineStr">
        <is>
          <t>Sesión iniciada</t>
        </is>
      </c>
      <c r="F6" s="16" t="inlineStr">
        <is>
          <t>Borrar/invalidar token y recargar cualquier pantalla.</t>
        </is>
      </c>
      <c r="G6" s="16" t="inlineStr">
        <is>
          <t>Vuelve a login.html?motivo=sesion sin errores en consola.</t>
        </is>
      </c>
      <c r="H6" s="15" t="inlineStr">
        <is>
          <t>Pendiente</t>
        </is>
      </c>
      <c r="I6" s="16" t="n"/>
      <c r="J6" s="15" t="n"/>
      <c r="K6" s="17" t="n"/>
      <c r="L6" s="16" t="n"/>
    </row>
    <row r="7">
      <c r="A7" s="15" t="inlineStr">
        <is>
          <t>QA-006</t>
        </is>
      </c>
      <c r="B7" s="16" t="inlineStr">
        <is>
          <t>Acceso y seguridad</t>
        </is>
      </c>
      <c r="C7" s="16" t="inlineStr">
        <is>
          <t>pantalla_admin_usuarios.html</t>
        </is>
      </c>
      <c r="D7" s="16" t="inlineStr">
        <is>
          <t>Crear usuario nuevo</t>
        </is>
      </c>
      <c r="E7" s="16" t="inlineStr">
        <is>
          <t>Sesión admin</t>
        </is>
      </c>
      <c r="F7" s="16" t="inlineStr">
        <is>
          <t>Crear usuario con rol Cajero; iniciar sesión con él.</t>
        </is>
      </c>
      <c r="G7" s="16" t="inlineStr">
        <is>
          <t>Usuario creado y puede ingresar con sus permisos.</t>
        </is>
      </c>
      <c r="H7" s="15" t="inlineStr">
        <is>
          <t>Pendiente</t>
        </is>
      </c>
      <c r="I7" s="16" t="n"/>
      <c r="J7" s="15" t="n"/>
      <c r="K7" s="17" t="n"/>
      <c r="L7" s="16" t="n"/>
    </row>
    <row r="8">
      <c r="A8" s="15" t="inlineStr">
        <is>
          <t>QA-007</t>
        </is>
      </c>
      <c r="B8" s="16" t="inlineStr">
        <is>
          <t>Acceso y seguridad</t>
        </is>
      </c>
      <c r="C8" s="16" t="inlineStr">
        <is>
          <t>pantalla_admin_usuarios.html</t>
        </is>
      </c>
      <c r="D8" s="16" t="inlineStr">
        <is>
          <t>Editar permisos de un rol</t>
        </is>
      </c>
      <c r="E8" s="16" t="inlineStr">
        <is>
          <t>Sesión admin</t>
        </is>
      </c>
      <c r="F8" s="16" t="inlineStr">
        <is>
          <t>Cambiar permisos de un rol y re-ingresar con un usuario de ese rol.</t>
        </is>
      </c>
      <c r="G8" s="16" t="inlineStr">
        <is>
          <t>Los permisos se reflejan en navbar y en la API.</t>
        </is>
      </c>
      <c r="H8" s="15" t="inlineStr">
        <is>
          <t>Pendiente</t>
        </is>
      </c>
      <c r="I8" s="16" t="n"/>
      <c r="J8" s="15" t="n"/>
      <c r="K8" s="17" t="n"/>
      <c r="L8" s="16" t="n"/>
    </row>
    <row r="9">
      <c r="A9" s="15" t="inlineStr">
        <is>
          <t>QA-008</t>
        </is>
      </c>
      <c r="B9" s="16" t="inlineStr">
        <is>
          <t>Acceso y seguridad</t>
        </is>
      </c>
      <c r="C9" s="16" t="inlineStr">
        <is>
          <t>pantalla_admin_usuarios.html</t>
        </is>
      </c>
      <c r="D9" s="16" t="inlineStr">
        <is>
          <t>Desactivar usuario</t>
        </is>
      </c>
      <c r="E9" s="16" t="inlineStr">
        <is>
          <t>Usuario de prueba existe</t>
        </is>
      </c>
      <c r="F9" s="16" t="inlineStr">
        <is>
          <t>Desactivar usuario e intentar ingresar.</t>
        </is>
      </c>
      <c r="G9" s="16" t="inlineStr">
        <is>
          <t>No puede iniciar sesión.</t>
        </is>
      </c>
      <c r="H9" s="15" t="inlineStr">
        <is>
          <t>Pendiente</t>
        </is>
      </c>
      <c r="I9" s="16" t="n"/>
      <c r="J9" s="15" t="n"/>
      <c r="K9" s="17" t="n"/>
      <c r="L9" s="16" t="n"/>
    </row>
    <row r="10">
      <c r="A10" s="15" t="inlineStr">
        <is>
          <t>QA-009</t>
        </is>
      </c>
      <c r="B10" s="16" t="inlineStr">
        <is>
          <t>Acceso y seguridad</t>
        </is>
      </c>
      <c r="C10" s="16" t="inlineStr">
        <is>
          <t>pantalla_auditoria.html</t>
        </is>
      </c>
      <c r="D10" s="16" t="inlineStr">
        <is>
          <t>Registro de auditoría</t>
        </is>
      </c>
      <c r="E10" s="16" t="inlineStr">
        <is>
          <t>Se hicieron acciones previas</t>
        </is>
      </c>
      <c r="F10" s="16" t="inlineStr">
        <is>
          <t>Abrir auditoría; filtrar por usuario, módulo y fecha.</t>
        </is>
      </c>
      <c r="G10" s="16" t="inlineStr">
        <is>
          <t>Lista eventos recientes y los filtros funcionan.</t>
        </is>
      </c>
      <c r="H10" s="15" t="inlineStr">
        <is>
          <t>Pendiente</t>
        </is>
      </c>
      <c r="I10" s="16" t="n"/>
      <c r="J10" s="15" t="n"/>
      <c r="K10" s="17" t="n"/>
      <c r="L10" s="16" t="n"/>
    </row>
    <row r="11">
      <c r="A11" s="15" t="inlineStr">
        <is>
          <t>QA-010</t>
        </is>
      </c>
      <c r="B11" s="16" t="inlineStr">
        <is>
          <t>Catálogo / Productos</t>
        </is>
      </c>
      <c r="C11" s="16" t="inlineStr">
        <is>
          <t>pantalla_catalogo_productos.html</t>
        </is>
      </c>
      <c r="D11" s="16" t="inlineStr">
        <is>
          <t>Listar productos</t>
        </is>
      </c>
      <c r="E11" s="16" t="inlineStr">
        <is>
          <t>Hay productos cargados</t>
        </is>
      </c>
      <c r="F11" s="16" t="inlineStr">
        <is>
          <t>Abrir la pantalla.</t>
        </is>
      </c>
      <c r="G11" s="16" t="inlineStr">
        <is>
          <t>Carga el listado sin errores en consola.</t>
        </is>
      </c>
      <c r="H11" s="15" t="inlineStr">
        <is>
          <t>Pendiente</t>
        </is>
      </c>
      <c r="I11" s="16" t="n"/>
      <c r="J11" s="15" t="n"/>
      <c r="K11" s="17" t="n"/>
      <c r="L11" s="16" t="n"/>
    </row>
    <row r="12">
      <c r="A12" s="15" t="inlineStr">
        <is>
          <t>QA-011</t>
        </is>
      </c>
      <c r="B12" s="16" t="inlineStr">
        <is>
          <t>Catálogo / Productos</t>
        </is>
      </c>
      <c r="C12" s="16" t="inlineStr">
        <is>
          <t>pantalla_catalogo_productos.html</t>
        </is>
      </c>
      <c r="D12" s="16" t="inlineStr">
        <is>
          <t>Crear producto con stock inicial</t>
        </is>
      </c>
      <c r="E12" s="16" t="inlineStr">
        <is>
          <t>Sesión admin</t>
        </is>
      </c>
      <c r="F12" s="16" t="inlineStr">
        <is>
          <t>Crear producto (código, precio, unidad de medida) con stock inicial &gt; 0.</t>
        </is>
      </c>
      <c r="G12" s="16" t="inlineStr">
        <is>
          <t>Producto aparece en el catálogo; stock inicial queda en inventario y Kardex.</t>
        </is>
      </c>
      <c r="H12" s="15" t="inlineStr">
        <is>
          <t>Pendiente</t>
        </is>
      </c>
      <c r="I12" s="16" t="n"/>
      <c r="J12" s="15" t="n"/>
      <c r="K12" s="17" t="n"/>
      <c r="L12" s="16" t="n"/>
    </row>
    <row r="13">
      <c r="A13" s="15" t="inlineStr">
        <is>
          <t>QA-012</t>
        </is>
      </c>
      <c r="B13" s="16" t="inlineStr">
        <is>
          <t>Catálogo / Productos</t>
        </is>
      </c>
      <c r="C13" s="16" t="inlineStr">
        <is>
          <t>pantalla_catalogo_productos.html</t>
        </is>
      </c>
      <c r="D13" s="16" t="inlineStr">
        <is>
          <t>Validar campos obligatorios</t>
        </is>
      </c>
      <c r="E13" s="16" t="inlineStr">
        <is>
          <t>—</t>
        </is>
      </c>
      <c r="F13" s="16" t="inlineStr">
        <is>
          <t>Intentar guardar sin nombre/código/precio.</t>
        </is>
      </c>
      <c r="G13" s="16" t="inlineStr">
        <is>
          <t>Muestra validaciones; no guarda.</t>
        </is>
      </c>
      <c r="H13" s="15" t="inlineStr">
        <is>
          <t>Pendiente</t>
        </is>
      </c>
      <c r="I13" s="16" t="n"/>
      <c r="J13" s="15" t="n"/>
      <c r="K13" s="17" t="n"/>
      <c r="L13" s="16" t="n"/>
    </row>
    <row r="14">
      <c r="A14" s="15" t="inlineStr">
        <is>
          <t>QA-013</t>
        </is>
      </c>
      <c r="B14" s="16" t="inlineStr">
        <is>
          <t>Catálogo / Productos</t>
        </is>
      </c>
      <c r="C14" s="16" t="inlineStr">
        <is>
          <t>pantalla_catalogo_productos.html</t>
        </is>
      </c>
      <c r="D14" s="16" t="inlineStr">
        <is>
          <t>Código de producto duplicado</t>
        </is>
      </c>
      <c r="E14" s="16" t="inlineStr">
        <is>
          <t>Producto existente</t>
        </is>
      </c>
      <c r="F14" s="16" t="inlineStr">
        <is>
          <t>Crear otro producto con el mismo código.</t>
        </is>
      </c>
      <c r="G14" s="16" t="inlineStr">
        <is>
          <t>Rechaza con mensaje claro.</t>
        </is>
      </c>
      <c r="H14" s="15" t="inlineStr">
        <is>
          <t>Pendiente</t>
        </is>
      </c>
      <c r="I14" s="16" t="n"/>
      <c r="J14" s="15" t="n"/>
      <c r="K14" s="17" t="n"/>
      <c r="L14" s="16" t="n"/>
    </row>
    <row r="15">
      <c r="A15" s="15" t="inlineStr">
        <is>
          <t>QA-014</t>
        </is>
      </c>
      <c r="B15" s="16" t="inlineStr">
        <is>
          <t>Catálogo / Productos</t>
        </is>
      </c>
      <c r="C15" s="16" t="inlineStr">
        <is>
          <t>pantalla_catalogo_productos.html</t>
        </is>
      </c>
      <c r="D15" s="16" t="inlineStr">
        <is>
          <t>Editar producto y ajustar stock</t>
        </is>
      </c>
      <c r="E15" s="16" t="inlineStr">
        <is>
          <t>Producto con stock</t>
        </is>
      </c>
      <c r="F15" s="16" t="inlineStr">
        <is>
          <t>Editar el stock desde la edición del producto.</t>
        </is>
      </c>
      <c r="G15" s="16" t="inlineStr">
        <is>
          <t>Se genera ajuste de stock y movimiento en Kardex.</t>
        </is>
      </c>
      <c r="H15" s="15" t="inlineStr">
        <is>
          <t>Pendiente</t>
        </is>
      </c>
      <c r="I15" s="16" t="n"/>
      <c r="J15" s="15" t="n"/>
      <c r="K15" s="17" t="n"/>
      <c r="L15" s="16" t="n"/>
    </row>
    <row r="16">
      <c r="A16" s="15" t="inlineStr">
        <is>
          <t>QA-015</t>
        </is>
      </c>
      <c r="B16" s="16" t="inlineStr">
        <is>
          <t>Catálogo / Productos</t>
        </is>
      </c>
      <c r="C16" s="16" t="inlineStr">
        <is>
          <t>pantalla_catalogo_productos.html</t>
        </is>
      </c>
      <c r="D16" s="16" t="inlineStr">
        <is>
          <t>Unidades de medida</t>
        </is>
      </c>
      <c r="E16" s="16" t="inlineStr">
        <is>
          <t>—</t>
        </is>
      </c>
      <c r="F16" s="16" t="inlineStr">
        <is>
          <t>Crear productos con distintas unidades (UN, KG, etc.).</t>
        </is>
      </c>
      <c r="G16" s="16" t="inlineStr">
        <is>
          <t>La unidad se guarda y se muestra en ventas e inventario.</t>
        </is>
      </c>
      <c r="H16" s="15" t="inlineStr">
        <is>
          <t>Pendiente</t>
        </is>
      </c>
      <c r="I16" s="16" t="n"/>
      <c r="J16" s="15" t="n"/>
      <c r="K16" s="17" t="n"/>
      <c r="L16" s="16" t="n"/>
    </row>
    <row r="17">
      <c r="A17" s="15" t="inlineStr">
        <is>
          <t>QA-016</t>
        </is>
      </c>
      <c r="B17" s="16" t="inlineStr">
        <is>
          <t>Catálogo / Productos</t>
        </is>
      </c>
      <c r="C17" s="16" t="inlineStr">
        <is>
          <t>pantalla_catalogo_productos.html</t>
        </is>
      </c>
      <c r="D17" s="16" t="inlineStr">
        <is>
          <t>Desactivar producto</t>
        </is>
      </c>
      <c r="E17" s="16" t="inlineStr">
        <is>
          <t>Producto existente</t>
        </is>
      </c>
      <c r="F17" s="16" t="inlineStr">
        <is>
          <t>Desactivar producto.</t>
        </is>
      </c>
      <c r="G17" s="16" t="inlineStr">
        <is>
          <t>No aparece para vender/comprar, pero conserva historial.</t>
        </is>
      </c>
      <c r="H17" s="15" t="inlineStr">
        <is>
          <t>Pendiente</t>
        </is>
      </c>
      <c r="I17" s="16" t="n"/>
      <c r="J17" s="15" t="n"/>
      <c r="K17" s="17" t="n"/>
      <c r="L17" s="16" t="n"/>
    </row>
    <row r="18">
      <c r="A18" s="15" t="inlineStr">
        <is>
          <t>QA-017</t>
        </is>
      </c>
      <c r="B18" s="16" t="inlineStr">
        <is>
          <t>Clientes</t>
        </is>
      </c>
      <c r="C18" s="16" t="inlineStr">
        <is>
          <t>pantalla_gestion_clientes.html</t>
        </is>
      </c>
      <c r="D18" s="16" t="inlineStr">
        <is>
          <t>Crear cliente</t>
        </is>
      </c>
      <c r="E18" s="16" t="inlineStr">
        <is>
          <t>Sesión con permiso</t>
        </is>
      </c>
      <c r="F18" s="16" t="inlineStr">
        <is>
          <t>Crear cliente con RUT/datos y límite de crédito.</t>
        </is>
      </c>
      <c r="G18" s="16" t="inlineStr">
        <is>
          <t>Aparece en el listado y en el selector de ventas.</t>
        </is>
      </c>
      <c r="H18" s="15" t="inlineStr">
        <is>
          <t>Pendiente</t>
        </is>
      </c>
      <c r="I18" s="16" t="n"/>
      <c r="J18" s="15" t="n"/>
      <c r="K18" s="17" t="n"/>
      <c r="L18" s="16" t="n"/>
    </row>
    <row r="19">
      <c r="A19" s="15" t="inlineStr">
        <is>
          <t>QA-018</t>
        </is>
      </c>
      <c r="B19" s="16" t="inlineStr">
        <is>
          <t>Clientes</t>
        </is>
      </c>
      <c r="C19" s="16" t="inlineStr">
        <is>
          <t>pantalla_gestion_clientes.html</t>
        </is>
      </c>
      <c r="D19" s="16" t="inlineStr">
        <is>
          <t>Validar RUT/identificador duplicado</t>
        </is>
      </c>
      <c r="E19" s="16" t="inlineStr">
        <is>
          <t>Cliente existente</t>
        </is>
      </c>
      <c r="F19" s="16" t="inlineStr">
        <is>
          <t>Crear cliente con el mismo identificador.</t>
        </is>
      </c>
      <c r="G19" s="16" t="inlineStr">
        <is>
          <t>Rechaza con mensaje claro.</t>
        </is>
      </c>
      <c r="H19" s="15" t="inlineStr">
        <is>
          <t>Pendiente</t>
        </is>
      </c>
      <c r="I19" s="16" t="n"/>
      <c r="J19" s="15" t="n"/>
      <c r="K19" s="17" t="n"/>
      <c r="L19" s="16" t="n"/>
    </row>
    <row r="20">
      <c r="A20" s="15" t="inlineStr">
        <is>
          <t>QA-019</t>
        </is>
      </c>
      <c r="B20" s="16" t="inlineStr">
        <is>
          <t>Clientes</t>
        </is>
      </c>
      <c r="C20" s="16" t="inlineStr">
        <is>
          <t>pantalla_gestion_clientes.html</t>
        </is>
      </c>
      <c r="D20" s="16" t="inlineStr">
        <is>
          <t>Editar y desactivar cliente</t>
        </is>
      </c>
      <c r="E20" s="16" t="inlineStr">
        <is>
          <t>Cliente existente</t>
        </is>
      </c>
      <c r="F20" s="16" t="inlineStr">
        <is>
          <t>Modificar datos; luego desactivar.</t>
        </is>
      </c>
      <c r="G20" s="16" t="inlineStr">
        <is>
          <t>Cambios persistentes; inactivo no se ofrece en ventas.</t>
        </is>
      </c>
      <c r="H20" s="15" t="inlineStr">
        <is>
          <t>Pendiente</t>
        </is>
      </c>
      <c r="I20" s="16" t="n"/>
      <c r="J20" s="15" t="n"/>
      <c r="K20" s="17" t="n"/>
      <c r="L20" s="16" t="n"/>
    </row>
    <row r="21">
      <c r="A21" s="15" t="inlineStr">
        <is>
          <t>QA-020</t>
        </is>
      </c>
      <c r="B21" s="16" t="inlineStr">
        <is>
          <t>Proveedores</t>
        </is>
      </c>
      <c r="C21" s="16" t="inlineStr">
        <is>
          <t>pantalla_gestion_proveedores.html</t>
        </is>
      </c>
      <c r="D21" s="16" t="inlineStr">
        <is>
          <t>Crear proveedor</t>
        </is>
      </c>
      <c r="E21" s="16" t="inlineStr">
        <is>
          <t>Sesión con permiso</t>
        </is>
      </c>
      <c r="F21" s="16" t="inlineStr">
        <is>
          <t>Crear proveedor con datos completos.</t>
        </is>
      </c>
      <c r="G21" s="16" t="inlineStr">
        <is>
          <t>Aparece en listado y en el selector de órdenes de compra.</t>
        </is>
      </c>
      <c r="H21" s="15" t="inlineStr">
        <is>
          <t>Pendiente</t>
        </is>
      </c>
      <c r="I21" s="16" t="n"/>
      <c r="J21" s="15" t="n"/>
      <c r="K21" s="17" t="n"/>
      <c r="L21" s="16" t="n"/>
    </row>
    <row r="22">
      <c r="A22" s="15" t="inlineStr">
        <is>
          <t>QA-021</t>
        </is>
      </c>
      <c r="B22" s="16" t="inlineStr">
        <is>
          <t>Proveedores</t>
        </is>
      </c>
      <c r="C22" s="16" t="inlineStr">
        <is>
          <t>pantalla_gestion_proveedores.html</t>
        </is>
      </c>
      <c r="D22" s="16" t="inlineStr">
        <is>
          <t>Editar y desactivar proveedor</t>
        </is>
      </c>
      <c r="E22" s="16" t="inlineStr">
        <is>
          <t>Proveedor existente</t>
        </is>
      </c>
      <c r="F22" s="16" t="inlineStr">
        <is>
          <t>Modificar datos; luego desactivar.</t>
        </is>
      </c>
      <c r="G22" s="16" t="inlineStr">
        <is>
          <t>Cambios persistentes; inactivo no se ofrece en compras.</t>
        </is>
      </c>
      <c r="H22" s="15" t="inlineStr">
        <is>
          <t>Pendiente</t>
        </is>
      </c>
      <c r="I22" s="16" t="n"/>
      <c r="J22" s="15" t="n"/>
      <c r="K22" s="17" t="n"/>
      <c r="L22" s="16" t="n"/>
    </row>
    <row r="23">
      <c r="A23" s="15" t="inlineStr">
        <is>
          <t>QA-022</t>
        </is>
      </c>
      <c r="B23" s="16" t="inlineStr">
        <is>
          <t>Compras</t>
        </is>
      </c>
      <c r="C23" s="16" t="inlineStr">
        <is>
          <t>pantalla_ordenes_compra.html</t>
        </is>
      </c>
      <c r="D23" s="16" t="inlineStr">
        <is>
          <t>Crear orden de compra</t>
        </is>
      </c>
      <c r="E23" s="16" t="inlineStr">
        <is>
          <t>Proveedor y productos existen</t>
        </is>
      </c>
      <c r="F23" s="16" t="inlineStr">
        <is>
          <t>Crear OC con 2 productos, cantidades y costos.</t>
        </is>
      </c>
      <c r="G23" s="16" t="inlineStr">
        <is>
          <t>OC creada en estado pendiente con totales correctos (neto + IVA 19%).</t>
        </is>
      </c>
      <c r="H23" s="15" t="inlineStr">
        <is>
          <t>Pendiente</t>
        </is>
      </c>
      <c r="I23" s="16" t="n"/>
      <c r="J23" s="15" t="n"/>
      <c r="K23" s="17" t="n"/>
      <c r="L23" s="16" t="n"/>
    </row>
    <row r="24">
      <c r="A24" s="15" t="inlineStr">
        <is>
          <t>QA-023</t>
        </is>
      </c>
      <c r="B24" s="16" t="inlineStr">
        <is>
          <t>Compras</t>
        </is>
      </c>
      <c r="C24" s="16" t="inlineStr">
        <is>
          <t>pantalla_ordenes_compra.html</t>
        </is>
      </c>
      <c r="D24" s="16" t="inlineStr">
        <is>
          <t>Anular orden de compra con motivo</t>
        </is>
      </c>
      <c r="E24" s="16" t="inlineStr">
        <is>
          <t>OC pendiente</t>
        </is>
      </c>
      <c r="F24" s="16" t="inlineStr">
        <is>
          <t>Anular indicando motivo.</t>
        </is>
      </c>
      <c r="G24" s="16" t="inlineStr">
        <is>
          <t>Estado Anulada; motivo guardado; no se puede recepcionar.</t>
        </is>
      </c>
      <c r="H24" s="15" t="inlineStr">
        <is>
          <t>Pendiente</t>
        </is>
      </c>
      <c r="I24" s="16" t="n"/>
      <c r="J24" s="15" t="n"/>
      <c r="K24" s="17" t="n"/>
      <c r="L24" s="16" t="n"/>
    </row>
    <row r="25">
      <c r="A25" s="15" t="inlineStr">
        <is>
          <t>QA-024</t>
        </is>
      </c>
      <c r="B25" s="16" t="inlineStr">
        <is>
          <t>Compras</t>
        </is>
      </c>
      <c r="C25" s="16" t="inlineStr">
        <is>
          <t>pantalla_recepcion_mercaderia.html</t>
        </is>
      </c>
      <c r="D25" s="16" t="inlineStr">
        <is>
          <t>Recepción total de OC</t>
        </is>
      </c>
      <c r="E25" s="16" t="inlineStr">
        <is>
          <t>OC pendiente</t>
        </is>
      </c>
      <c r="F25" s="16" t="inlineStr">
        <is>
          <t>Recepcionar todas las líneas.</t>
        </is>
      </c>
      <c r="G25" s="16" t="inlineStr">
        <is>
          <t>Stock sube; movimiento en Kardex; OC pasa a recepcionada.</t>
        </is>
      </c>
      <c r="H25" s="15" t="inlineStr">
        <is>
          <t>Pendiente</t>
        </is>
      </c>
      <c r="I25" s="16" t="n"/>
      <c r="J25" s="15" t="n"/>
      <c r="K25" s="17" t="n"/>
      <c r="L25" s="16" t="n"/>
    </row>
    <row r="26">
      <c r="A26" s="15" t="inlineStr">
        <is>
          <t>QA-025</t>
        </is>
      </c>
      <c r="B26" s="16" t="inlineStr">
        <is>
          <t>Compras</t>
        </is>
      </c>
      <c r="C26" s="16" t="inlineStr">
        <is>
          <t>pantalla_recepcion_mercaderia.html</t>
        </is>
      </c>
      <c r="D26" s="16" t="inlineStr">
        <is>
          <t>Recepción parcial de OC</t>
        </is>
      </c>
      <c r="E26" s="16" t="inlineStr">
        <is>
          <t>OC pendiente</t>
        </is>
      </c>
      <c r="F26" s="16" t="inlineStr">
        <is>
          <t>Recepcionar solo parte de las cantidades.</t>
        </is>
      </c>
      <c r="G26" s="16" t="inlineStr">
        <is>
          <t>Stock sube solo lo recibido; OC queda parcial.</t>
        </is>
      </c>
      <c r="H26" s="15" t="inlineStr">
        <is>
          <t>Pendiente</t>
        </is>
      </c>
      <c r="I26" s="16" t="n"/>
      <c r="J26" s="15" t="n"/>
      <c r="K26" s="17" t="n"/>
      <c r="L26" s="16" t="n"/>
    </row>
    <row r="27">
      <c r="A27" s="15" t="inlineStr">
        <is>
          <t>QA-026</t>
        </is>
      </c>
      <c r="B27" s="16" t="inlineStr">
        <is>
          <t>Compras</t>
        </is>
      </c>
      <c r="C27" s="16" t="inlineStr">
        <is>
          <t>pantalla_facturas_compra.html</t>
        </is>
      </c>
      <c r="D27" s="16" t="inlineStr">
        <is>
          <t>Registrar factura de compra</t>
        </is>
      </c>
      <c r="E27" s="16" t="inlineStr">
        <is>
          <t>OC recepcionada</t>
        </is>
      </c>
      <c r="F27" s="16" t="inlineStr">
        <is>
          <t>Registrar factura asociada a la OC.</t>
        </is>
      </c>
      <c r="G27" s="16" t="inlineStr">
        <is>
          <t>Factura creada; genera asiento contable automático (Inventario + IVA crédito / Proveedores).</t>
        </is>
      </c>
      <c r="H27" s="15" t="inlineStr">
        <is>
          <t>Pendiente</t>
        </is>
      </c>
      <c r="I27" s="16" t="n"/>
      <c r="J27" s="15" t="n"/>
      <c r="K27" s="17" t="n"/>
      <c r="L27" s="16" t="n"/>
    </row>
    <row r="28">
      <c r="A28" s="15" t="inlineStr">
        <is>
          <t>QA-027</t>
        </is>
      </c>
      <c r="B28" s="16" t="inlineStr">
        <is>
          <t>Compras</t>
        </is>
      </c>
      <c r="C28" s="16" t="inlineStr">
        <is>
          <t>pantalla_facturas_compra.html</t>
        </is>
      </c>
      <c r="D28" s="16" t="inlineStr">
        <is>
          <t>Anular factura de compra</t>
        </is>
      </c>
      <c r="E28" s="16" t="inlineStr">
        <is>
          <t>Factura registrada</t>
        </is>
      </c>
      <c r="F28" s="16" t="inlineStr">
        <is>
          <t>Anular con motivo.</t>
        </is>
      </c>
      <c r="G28" s="16" t="inlineStr">
        <is>
          <t>Estado Anulada; asiento revertido/anulado.</t>
        </is>
      </c>
      <c r="H28" s="15" t="inlineStr">
        <is>
          <t>Pendiente</t>
        </is>
      </c>
      <c r="I28" s="16" t="n"/>
      <c r="J28" s="15" t="n"/>
      <c r="K28" s="17" t="n"/>
      <c r="L28" s="16" t="n"/>
    </row>
    <row r="29">
      <c r="A29" s="15" t="inlineStr">
        <is>
          <t>QA-028</t>
        </is>
      </c>
      <c r="B29" s="16" t="inlineStr">
        <is>
          <t>Compras</t>
        </is>
      </c>
      <c r="C29" s="16" t="inlineStr">
        <is>
          <t>pantalla_historial_compras.html</t>
        </is>
      </c>
      <c r="D29" s="16" t="inlineStr">
        <is>
          <t>Historial de compras</t>
        </is>
      </c>
      <c r="E29" s="16" t="inlineStr">
        <is>
          <t>Hay compras</t>
        </is>
      </c>
      <c r="F29" s="16" t="inlineStr">
        <is>
          <t>Abrir y filtrar por fecha/proveedor.</t>
        </is>
      </c>
      <c r="G29" s="16" t="inlineStr">
        <is>
          <t>Listado y filtros correctos.</t>
        </is>
      </c>
      <c r="H29" s="15" t="inlineStr">
        <is>
          <t>Pendiente</t>
        </is>
      </c>
      <c r="I29" s="16" t="n"/>
      <c r="J29" s="15" t="n"/>
      <c r="K29" s="17" t="n"/>
      <c r="L29" s="16" t="n"/>
    </row>
    <row r="30">
      <c r="A30" s="15" t="inlineStr">
        <is>
          <t>QA-029</t>
        </is>
      </c>
      <c r="B30" s="16" t="inlineStr">
        <is>
          <t>Compras</t>
        </is>
      </c>
      <c r="C30" s="16" t="inlineStr">
        <is>
          <t>pantalla_reportes_compras.html</t>
        </is>
      </c>
      <c r="D30" s="16" t="inlineStr">
        <is>
          <t>Reporte de compras</t>
        </is>
      </c>
      <c r="E30" s="16" t="inlineStr">
        <is>
          <t>Hay compras</t>
        </is>
      </c>
      <c r="F30" s="16" t="inlineStr">
        <is>
          <t>Abrir reporte y cambiar rango de fechas.</t>
        </is>
      </c>
      <c r="G30" s="16" t="inlineStr">
        <is>
          <t>Totales coinciden con las facturas registradas.</t>
        </is>
      </c>
      <c r="H30" s="15" t="inlineStr">
        <is>
          <t>Pendiente</t>
        </is>
      </c>
      <c r="I30" s="16" t="n"/>
      <c r="J30" s="15" t="n"/>
      <c r="K30" s="17" t="n"/>
      <c r="L30" s="16" t="n"/>
    </row>
    <row r="31">
      <c r="A31" s="15" t="inlineStr">
        <is>
          <t>QA-030</t>
        </is>
      </c>
      <c r="B31" s="16" t="inlineStr">
        <is>
          <t>Inventario</t>
        </is>
      </c>
      <c r="C31" s="16" t="inlineStr">
        <is>
          <t>pantalla_kardex_inventario.html</t>
        </is>
      </c>
      <c r="D31" s="16" t="inlineStr">
        <is>
          <t>Kardex por producto</t>
        </is>
      </c>
      <c r="E31" s="16" t="inlineStr">
        <is>
          <t>Producto con movimientos</t>
        </is>
      </c>
      <c r="F31" s="16" t="inlineStr">
        <is>
          <t>Seleccionar producto y ver movimientos.</t>
        </is>
      </c>
      <c r="G31" s="16" t="inlineStr">
        <is>
          <t>Entradas/salidas/saldo coherentes con compras, ventas y ajustes.</t>
        </is>
      </c>
      <c r="H31" s="15" t="inlineStr">
        <is>
          <t>Pendiente</t>
        </is>
      </c>
      <c r="I31" s="16" t="n"/>
      <c r="J31" s="15" t="n"/>
      <c r="K31" s="17" t="n"/>
      <c r="L31" s="16" t="n"/>
    </row>
    <row r="32">
      <c r="A32" s="15" t="inlineStr">
        <is>
          <t>QA-031</t>
        </is>
      </c>
      <c r="B32" s="16" t="inlineStr">
        <is>
          <t>Inventario</t>
        </is>
      </c>
      <c r="C32" s="16" t="inlineStr">
        <is>
          <t>pantalla_ajustes_alertas_inventario.html</t>
        </is>
      </c>
      <c r="D32" s="16" t="inlineStr">
        <is>
          <t>Ajuste de inventario (merma)</t>
        </is>
      </c>
      <c r="E32" s="16" t="inlineStr">
        <is>
          <t>Producto con stock</t>
        </is>
      </c>
      <c r="F32" s="16" t="inlineStr">
        <is>
          <t>Registrar ajuste negativo con motivo.</t>
        </is>
      </c>
      <c r="G32" s="16" t="inlineStr">
        <is>
          <t>Stock baja; asiento Gastos por mermas / Inventario.</t>
        </is>
      </c>
      <c r="H32" s="15" t="inlineStr">
        <is>
          <t>Pendiente</t>
        </is>
      </c>
      <c r="I32" s="16" t="n"/>
      <c r="J32" s="15" t="n"/>
      <c r="K32" s="17" t="n"/>
      <c r="L32" s="16" t="n"/>
    </row>
    <row r="33">
      <c r="A33" s="15" t="inlineStr">
        <is>
          <t>QA-032</t>
        </is>
      </c>
      <c r="B33" s="16" t="inlineStr">
        <is>
          <t>Inventario</t>
        </is>
      </c>
      <c r="C33" s="16" t="inlineStr">
        <is>
          <t>pantalla_ajustes_alertas_inventario.html</t>
        </is>
      </c>
      <c r="D33" s="16" t="inlineStr">
        <is>
          <t>Ajuste de inventario (sobrante)</t>
        </is>
      </c>
      <c r="E33" s="16" t="inlineStr">
        <is>
          <t>Producto existente</t>
        </is>
      </c>
      <c r="F33" s="16" t="inlineStr">
        <is>
          <t>Registrar ajuste positivo.</t>
        </is>
      </c>
      <c r="G33" s="16" t="inlineStr">
        <is>
          <t>Stock sube; asiento Inventario / Gastos por mermas.</t>
        </is>
      </c>
      <c r="H33" s="15" t="inlineStr">
        <is>
          <t>Pendiente</t>
        </is>
      </c>
      <c r="I33" s="16" t="n"/>
      <c r="J33" s="15" t="n"/>
      <c r="K33" s="17" t="n"/>
      <c r="L33" s="16" t="n"/>
    </row>
    <row r="34">
      <c r="A34" s="15" t="inlineStr">
        <is>
          <t>QA-033</t>
        </is>
      </c>
      <c r="B34" s="16" t="inlineStr">
        <is>
          <t>Inventario</t>
        </is>
      </c>
      <c r="C34" s="16" t="inlineStr">
        <is>
          <t>pantalla_ajustes_alertas_inventario.html</t>
        </is>
      </c>
      <c r="D34" s="16" t="inlineStr">
        <is>
          <t>Alerta de stock mínimo</t>
        </is>
      </c>
      <c r="E34" s="16" t="inlineStr">
        <is>
          <t>Producto con stock mínimo definido</t>
        </is>
      </c>
      <c r="F34" s="16" t="inlineStr">
        <is>
          <t>Bajar el stock bajo el mínimo.</t>
        </is>
      </c>
      <c r="G34" s="16" t="inlineStr">
        <is>
          <t>Aparece en alertas de inventario.</t>
        </is>
      </c>
      <c r="H34" s="15" t="inlineStr">
        <is>
          <t>Pendiente</t>
        </is>
      </c>
      <c r="I34" s="16" t="n"/>
      <c r="J34" s="15" t="n"/>
      <c r="K34" s="17" t="n"/>
      <c r="L34" s="16" t="n"/>
    </row>
    <row r="35">
      <c r="A35" s="15" t="inlineStr">
        <is>
          <t>QA-034</t>
        </is>
      </c>
      <c r="B35" s="16" t="inlineStr">
        <is>
          <t>Inventario</t>
        </is>
      </c>
      <c r="C35" s="16" t="inlineStr">
        <is>
          <t>pantalla_ajustes_alertas_inventario.html</t>
        </is>
      </c>
      <c r="D35" s="16" t="inlineStr">
        <is>
          <t>No permitir stock negativo</t>
        </is>
      </c>
      <c r="E35" s="16" t="inlineStr">
        <is>
          <t>Producto con stock bajo</t>
        </is>
      </c>
      <c r="F35" s="16" t="inlineStr">
        <is>
          <t>Ajuste negativo mayor al stock.</t>
        </is>
      </c>
      <c r="G35" s="16" t="inlineStr">
        <is>
          <t>Rechaza con mensaje claro.</t>
        </is>
      </c>
      <c r="H35" s="15" t="inlineStr">
        <is>
          <t>Pendiente</t>
        </is>
      </c>
      <c r="I35" s="16" t="n"/>
      <c r="J35" s="15" t="n"/>
      <c r="K35" s="17" t="n"/>
      <c r="L35" s="16" t="n"/>
    </row>
    <row r="36">
      <c r="A36" s="15" t="inlineStr">
        <is>
          <t>QA-035</t>
        </is>
      </c>
      <c r="B36" s="16" t="inlineStr">
        <is>
          <t>Inventario</t>
        </is>
      </c>
      <c r="C36" s="16" t="inlineStr">
        <is>
          <t>pantalla_valorizacion_inventario.html</t>
        </is>
      </c>
      <c r="D36" s="16" t="inlineStr">
        <is>
          <t>Valorización de inventario</t>
        </is>
      </c>
      <c r="E36" s="16" t="inlineStr">
        <is>
          <t>Productos con costo y stock</t>
        </is>
      </c>
      <c r="F36" s="16" t="inlineStr">
        <is>
          <t>Abrir valorización.</t>
        </is>
      </c>
      <c r="G36" s="16" t="inlineStr">
        <is>
          <t>Valor total = suma(stock × costo) y coincide con cuenta Inventario en contabilidad.</t>
        </is>
      </c>
      <c r="H36" s="15" t="inlineStr">
        <is>
          <t>Pendiente</t>
        </is>
      </c>
      <c r="I36" s="16" t="n"/>
      <c r="J36" s="15" t="n"/>
      <c r="K36" s="17" t="n"/>
      <c r="L36" s="16" t="n"/>
    </row>
    <row r="37">
      <c r="A37" s="15" t="inlineStr">
        <is>
          <t>QA-036</t>
        </is>
      </c>
      <c r="B37" s="16" t="inlineStr">
        <is>
          <t>Ventas</t>
        </is>
      </c>
      <c r="C37" s="16" t="inlineStr">
        <is>
          <t>pantalla_caja_inicio.html</t>
        </is>
      </c>
      <c r="D37" s="16" t="inlineStr">
        <is>
          <t>Apertura de caja</t>
        </is>
      </c>
      <c r="E37" s="16" t="inlineStr">
        <is>
          <t>Sesión de cajero</t>
        </is>
      </c>
      <c r="F37" s="16" t="inlineStr">
        <is>
          <t>Abrir caja con monto inicial.</t>
        </is>
      </c>
      <c r="G37" s="16" t="inlineStr">
        <is>
          <t>Caja queda abierta y habilita emitir ventas.</t>
        </is>
      </c>
      <c r="H37" s="15" t="inlineStr">
        <is>
          <t>Pendiente</t>
        </is>
      </c>
      <c r="I37" s="16" t="n"/>
      <c r="J37" s="15" t="n"/>
      <c r="K37" s="17" t="n"/>
      <c r="L37" s="16" t="n"/>
    </row>
    <row r="38">
      <c r="A38" s="15" t="inlineStr">
        <is>
          <t>QA-037</t>
        </is>
      </c>
      <c r="B38" s="16" t="inlineStr">
        <is>
          <t>Ventas</t>
        </is>
      </c>
      <c r="C38" s="16" t="inlineStr">
        <is>
          <t>pantalla_emision_ventas.html</t>
        </is>
      </c>
      <c r="D38" s="16" t="inlineStr">
        <is>
          <t>Venta al contado en efectivo</t>
        </is>
      </c>
      <c r="E38" s="16" t="inlineStr">
        <is>
          <t>Producto con stock; caja abierta</t>
        </is>
      </c>
      <c r="F38" s="16" t="inlineStr">
        <is>
          <t>Agregar productos, pagar en efectivo, emitir.</t>
        </is>
      </c>
      <c r="G38" s="16" t="inlineStr">
        <is>
          <t>Venta creada; stock baja; asiento Caja / Ingresos + IVA débito y costo de venta.</t>
        </is>
      </c>
      <c r="H38" s="15" t="inlineStr">
        <is>
          <t>Pendiente</t>
        </is>
      </c>
      <c r="I38" s="16" t="n"/>
      <c r="J38" s="15" t="n"/>
      <c r="K38" s="17" t="n"/>
      <c r="L38" s="16" t="n"/>
    </row>
    <row r="39">
      <c r="A39" s="15" t="inlineStr">
        <is>
          <t>QA-038</t>
        </is>
      </c>
      <c r="B39" s="16" t="inlineStr">
        <is>
          <t>Ventas</t>
        </is>
      </c>
      <c r="C39" s="16" t="inlineStr">
        <is>
          <t>pantalla_emision_ventas.html</t>
        </is>
      </c>
      <c r="D39" s="16" t="inlineStr">
        <is>
          <t>Venta con tarjeta/transferencia</t>
        </is>
      </c>
      <c r="E39" s="16" t="inlineStr">
        <is>
          <t>Producto con stock</t>
        </is>
      </c>
      <c r="F39" s="16" t="inlineStr">
        <is>
          <t>Emitir con pago tarjeta o transferencia.</t>
        </is>
      </c>
      <c r="G39" s="16" t="inlineStr">
        <is>
          <t>Asiento usa cuenta Banco en el Debe.</t>
        </is>
      </c>
      <c r="H39" s="15" t="inlineStr">
        <is>
          <t>Pendiente</t>
        </is>
      </c>
      <c r="I39" s="16" t="n"/>
      <c r="J39" s="15" t="n"/>
      <c r="K39" s="17" t="n"/>
      <c r="L39" s="16" t="n"/>
    </row>
    <row r="40">
      <c r="A40" s="15" t="inlineStr">
        <is>
          <t>QA-039</t>
        </is>
      </c>
      <c r="B40" s="16" t="inlineStr">
        <is>
          <t>Ventas</t>
        </is>
      </c>
      <c r="C40" s="16" t="inlineStr">
        <is>
          <t>pantalla_emision_ventas.html</t>
        </is>
      </c>
      <c r="D40" s="16" t="inlineStr">
        <is>
          <t>Venta a crédito</t>
        </is>
      </c>
      <c r="E40" s="16" t="inlineStr">
        <is>
          <t>Cliente con crédito disponible</t>
        </is>
      </c>
      <c r="F40" s="16" t="inlineStr">
        <is>
          <t>Emitir venta a crédito con cliente.</t>
        </is>
      </c>
      <c r="G40" s="16" t="inlineStr">
        <is>
          <t>Cuenta por cobrar creada; asiento Clientes / Ingresos + IVA.</t>
        </is>
      </c>
      <c r="H40" s="15" t="inlineStr">
        <is>
          <t>Pendiente</t>
        </is>
      </c>
      <c r="I40" s="16" t="n"/>
      <c r="J40" s="15" t="n"/>
      <c r="K40" s="17" t="n"/>
      <c r="L40" s="16" t="n"/>
    </row>
    <row r="41">
      <c r="A41" s="15" t="inlineStr">
        <is>
          <t>QA-040</t>
        </is>
      </c>
      <c r="B41" s="16" t="inlineStr">
        <is>
          <t>Ventas</t>
        </is>
      </c>
      <c r="C41" s="16" t="inlineStr">
        <is>
          <t>pantalla_emision_ventas.html</t>
        </is>
      </c>
      <c r="D41" s="16" t="inlineStr">
        <is>
          <t>Venta a crédito sobre límite</t>
        </is>
      </c>
      <c r="E41" s="16" t="inlineStr">
        <is>
          <t>Cliente con límite bajo</t>
        </is>
      </c>
      <c r="F41" s="16" t="inlineStr">
        <is>
          <t>Emitir venta superior al límite.</t>
        </is>
      </c>
      <c r="G41" s="16" t="inlineStr">
        <is>
          <t>Rechaza o advierte según regla de negocio.</t>
        </is>
      </c>
      <c r="H41" s="15" t="inlineStr">
        <is>
          <t>Pendiente</t>
        </is>
      </c>
      <c r="I41" s="16" t="n"/>
      <c r="J41" s="15" t="n"/>
      <c r="K41" s="17" t="n"/>
      <c r="L41" s="16" t="n"/>
    </row>
    <row r="42">
      <c r="A42" s="15" t="inlineStr">
        <is>
          <t>QA-041</t>
        </is>
      </c>
      <c r="B42" s="16" t="inlineStr">
        <is>
          <t>Ventas</t>
        </is>
      </c>
      <c r="C42" s="16" t="inlineStr">
        <is>
          <t>pantalla_emision_ventas.html</t>
        </is>
      </c>
      <c r="D42" s="16" t="inlineStr">
        <is>
          <t>Venta con stock insuficiente</t>
        </is>
      </c>
      <c r="E42" s="16" t="inlineStr">
        <is>
          <t>Producto con poco stock</t>
        </is>
      </c>
      <c r="F42" s="16" t="inlineStr">
        <is>
          <t>Intentar vender más que el stock.</t>
        </is>
      </c>
      <c r="G42" s="16" t="inlineStr">
        <is>
          <t>Rechaza con mensaje claro; no descuenta stock.</t>
        </is>
      </c>
      <c r="H42" s="15" t="inlineStr">
        <is>
          <t>Pendiente</t>
        </is>
      </c>
      <c r="I42" s="16" t="n"/>
      <c r="J42" s="15" t="n"/>
      <c r="K42" s="17" t="n"/>
      <c r="L42" s="16" t="n"/>
    </row>
    <row r="43">
      <c r="A43" s="15" t="inlineStr">
        <is>
          <t>QA-042</t>
        </is>
      </c>
      <c r="B43" s="16" t="inlineStr">
        <is>
          <t>Ventas</t>
        </is>
      </c>
      <c r="C43" s="16" t="inlineStr">
        <is>
          <t>pantalla_emision_ventas.html</t>
        </is>
      </c>
      <c r="D43" s="16" t="inlineStr">
        <is>
          <t>Cálculo de IVA y totales</t>
        </is>
      </c>
      <c r="E43" s="16" t="inlineStr">
        <is>
          <t>—</t>
        </is>
      </c>
      <c r="F43" s="16" t="inlineStr">
        <is>
          <t>Vender productos con distintos precios y cantidades.</t>
        </is>
      </c>
      <c r="G43" s="16" t="inlineStr">
        <is>
          <t>Neto, IVA 19% y total correctos al peso.</t>
        </is>
      </c>
      <c r="H43" s="15" t="inlineStr">
        <is>
          <t>Pendiente</t>
        </is>
      </c>
      <c r="I43" s="16" t="n"/>
      <c r="J43" s="15" t="n"/>
      <c r="K43" s="17" t="n"/>
      <c r="L43" s="16" t="n"/>
    </row>
    <row r="44">
      <c r="A44" s="15" t="inlineStr">
        <is>
          <t>QA-043</t>
        </is>
      </c>
      <c r="B44" s="16" t="inlineStr">
        <is>
          <t>Ventas</t>
        </is>
      </c>
      <c r="C44" s="16" t="inlineStr">
        <is>
          <t>pantalla_emision_ventas.html</t>
        </is>
      </c>
      <c r="D44" s="16" t="inlineStr">
        <is>
          <t>Anular venta con motivo</t>
        </is>
      </c>
      <c r="E44" s="16" t="inlineStr">
        <is>
          <t>Venta emitida</t>
        </is>
      </c>
      <c r="F44" s="16" t="inlineStr">
        <is>
          <t>Anular indicando motivo.</t>
        </is>
      </c>
      <c r="G44" s="16" t="inlineStr">
        <is>
          <t>Estado Anulada; stock repuesto; asiento anulado.</t>
        </is>
      </c>
      <c r="H44" s="15" t="inlineStr">
        <is>
          <t>Pendiente</t>
        </is>
      </c>
      <c r="I44" s="16" t="n"/>
      <c r="J44" s="15" t="n"/>
      <c r="K44" s="17" t="n"/>
      <c r="L44" s="16" t="n"/>
    </row>
    <row r="45">
      <c r="A45" s="15" t="inlineStr">
        <is>
          <t>QA-044</t>
        </is>
      </c>
      <c r="B45" s="16" t="inlineStr">
        <is>
          <t>Ventas</t>
        </is>
      </c>
      <c r="C45" s="16" t="inlineStr">
        <is>
          <t>pantalla_historial_directas.html</t>
        </is>
      </c>
      <c r="D45" s="16" t="inlineStr">
        <is>
          <t>Historial de ventas directas</t>
        </is>
      </c>
      <c r="E45" s="16" t="inlineStr">
        <is>
          <t>Hay ventas</t>
        </is>
      </c>
      <c r="F45" s="16" t="inlineStr">
        <is>
          <t>Abrir y filtrar.</t>
        </is>
      </c>
      <c r="G45" s="16" t="inlineStr">
        <is>
          <t>Listado y filtros correctos.</t>
        </is>
      </c>
      <c r="H45" s="15" t="inlineStr">
        <is>
          <t>Pendiente</t>
        </is>
      </c>
      <c r="I45" s="16" t="n"/>
      <c r="J45" s="15" t="n"/>
      <c r="K45" s="17" t="n"/>
      <c r="L45" s="16" t="n"/>
    </row>
    <row r="46">
      <c r="A46" s="15" t="inlineStr">
        <is>
          <t>QA-045</t>
        </is>
      </c>
      <c r="B46" s="16" t="inlineStr">
        <is>
          <t>Ventas</t>
        </is>
      </c>
      <c r="C46" s="16" t="inlineStr">
        <is>
          <t>pantalla_reportes_ventas.html</t>
        </is>
      </c>
      <c r="D46" s="16" t="inlineStr">
        <is>
          <t>Reporte de ventas</t>
        </is>
      </c>
      <c r="E46" s="16" t="inlineStr">
        <is>
          <t>Hay ventas</t>
        </is>
      </c>
      <c r="F46" s="16" t="inlineStr">
        <is>
          <t>Abrir y cambiar rango de fechas.</t>
        </is>
      </c>
      <c r="G46" s="16" t="inlineStr">
        <is>
          <t>Totales coinciden con ventas emitidas.</t>
        </is>
      </c>
      <c r="H46" s="15" t="inlineStr">
        <is>
          <t>Pendiente</t>
        </is>
      </c>
      <c r="I46" s="16" t="n"/>
      <c r="J46" s="15" t="n"/>
      <c r="K46" s="17" t="n"/>
      <c r="L46" s="16" t="n"/>
    </row>
    <row r="47">
      <c r="A47" s="15" t="inlineStr">
        <is>
          <t>QA-046</t>
        </is>
      </c>
      <c r="B47" s="16" t="inlineStr">
        <is>
          <t>Cobranzas</t>
        </is>
      </c>
      <c r="C47" s="16" t="inlineStr">
        <is>
          <t>pantalla_cobranzas_ventas.html</t>
        </is>
      </c>
      <c r="D47" s="16" t="inlineStr">
        <is>
          <t>Abono parcial de cliente</t>
        </is>
      </c>
      <c r="E47" s="16" t="inlineStr">
        <is>
          <t>Venta a crédito pendiente</t>
        </is>
      </c>
      <c r="F47" s="16" t="inlineStr">
        <is>
          <t>Registrar abono menor al saldo.</t>
        </is>
      </c>
      <c r="G47" s="16" t="inlineStr">
        <is>
          <t>Saldo baja; asiento Caja/Banco / Clientes.</t>
        </is>
      </c>
      <c r="H47" s="15" t="inlineStr">
        <is>
          <t>Pendiente</t>
        </is>
      </c>
      <c r="I47" s="16" t="n"/>
      <c r="J47" s="15" t="n"/>
      <c r="K47" s="17" t="n"/>
      <c r="L47" s="16" t="n"/>
    </row>
    <row r="48">
      <c r="A48" s="15" t="inlineStr">
        <is>
          <t>QA-047</t>
        </is>
      </c>
      <c r="B48" s="16" t="inlineStr">
        <is>
          <t>Cobranzas</t>
        </is>
      </c>
      <c r="C48" s="16" t="inlineStr">
        <is>
          <t>pantalla_cobranzas_ventas.html</t>
        </is>
      </c>
      <c r="D48" s="16" t="inlineStr">
        <is>
          <t>Pago total de cuenta por cobrar</t>
        </is>
      </c>
      <c r="E48" s="16" t="inlineStr">
        <is>
          <t>Venta a crédito pendiente</t>
        </is>
      </c>
      <c r="F48" s="16" t="inlineStr">
        <is>
          <t>Registrar pago por el saldo completo.</t>
        </is>
      </c>
      <c r="G48" s="16" t="inlineStr">
        <is>
          <t>Saldo en 0; venta queda pagada.</t>
        </is>
      </c>
      <c r="H48" s="15" t="inlineStr">
        <is>
          <t>Pendiente</t>
        </is>
      </c>
      <c r="I48" s="16" t="n"/>
      <c r="J48" s="15" t="n"/>
      <c r="K48" s="17" t="n"/>
      <c r="L48" s="16" t="n"/>
    </row>
    <row r="49">
      <c r="A49" s="15" t="inlineStr">
        <is>
          <t>QA-048</t>
        </is>
      </c>
      <c r="B49" s="16" t="inlineStr">
        <is>
          <t>Cobranzas</t>
        </is>
      </c>
      <c r="C49" s="16" t="inlineStr">
        <is>
          <t>pantalla_cobranzas_ventas.html</t>
        </is>
      </c>
      <c r="D49" s="16" t="inlineStr">
        <is>
          <t>Abono mayor al saldo</t>
        </is>
      </c>
      <c r="E49" s="16" t="inlineStr">
        <is>
          <t>Venta a crédito pendiente</t>
        </is>
      </c>
      <c r="F49" s="16" t="inlineStr">
        <is>
          <t>Registrar abono superior al saldo.</t>
        </is>
      </c>
      <c r="G49" s="16" t="inlineStr">
        <is>
          <t>Rechaza con mensaje claro.</t>
        </is>
      </c>
      <c r="H49" s="15" t="inlineStr">
        <is>
          <t>Pendiente</t>
        </is>
      </c>
      <c r="I49" s="16" t="n"/>
      <c r="J49" s="15" t="n"/>
      <c r="K49" s="17" t="n"/>
      <c r="L49" s="16" t="n"/>
    </row>
    <row r="50">
      <c r="A50" s="15" t="inlineStr">
        <is>
          <t>QA-049</t>
        </is>
      </c>
      <c r="B50" s="16" t="inlineStr">
        <is>
          <t>Cobranzas</t>
        </is>
      </c>
      <c r="C50" s="16" t="inlineStr">
        <is>
          <t>pantalla_cobranzas_plazo.html</t>
        </is>
      </c>
      <c r="D50" s="16" t="inlineStr">
        <is>
          <t>Cobranzas a plazo / vencidas</t>
        </is>
      </c>
      <c r="E50" s="16" t="inlineStr">
        <is>
          <t>Ventas a crédito con vencimientos</t>
        </is>
      </c>
      <c r="F50" s="16" t="inlineStr">
        <is>
          <t>Abrir pantalla.</t>
        </is>
      </c>
      <c r="G50" s="16" t="inlineStr">
        <is>
          <t>Clasifica por plazo/vencimiento correctamente.</t>
        </is>
      </c>
      <c r="H50" s="15" t="inlineStr">
        <is>
          <t>Pendiente</t>
        </is>
      </c>
      <c r="I50" s="16" t="n"/>
      <c r="J50" s="15" t="n"/>
      <c r="K50" s="17" t="n"/>
      <c r="L50" s="16" t="n"/>
    </row>
    <row r="51">
      <c r="A51" s="15" t="inlineStr">
        <is>
          <t>QA-050</t>
        </is>
      </c>
      <c r="B51" s="16" t="inlineStr">
        <is>
          <t>Contabilidad</t>
        </is>
      </c>
      <c r="C51" s="16" t="inlineStr">
        <is>
          <t>pantalla_plan_cuentas.html</t>
        </is>
      </c>
      <c r="D51" s="16" t="inlineStr">
        <is>
          <t>Listar plan de cuentas</t>
        </is>
      </c>
      <c r="E51" s="16" t="inlineStr">
        <is>
          <t>—</t>
        </is>
      </c>
      <c r="F51" s="16" t="inlineStr">
        <is>
          <t>Abrir pantalla.</t>
        </is>
      </c>
      <c r="G51" s="16" t="inlineStr">
        <is>
          <t>Se ve jerarquía de cuentas con saldos.</t>
        </is>
      </c>
      <c r="H51" s="15" t="inlineStr">
        <is>
          <t>Pendiente</t>
        </is>
      </c>
      <c r="I51" s="16" t="n"/>
      <c r="J51" s="15" t="n"/>
      <c r="K51" s="17" t="n"/>
      <c r="L51" s="16" t="n"/>
    </row>
    <row r="52">
      <c r="A52" s="15" t="inlineStr">
        <is>
          <t>QA-051</t>
        </is>
      </c>
      <c r="B52" s="16" t="inlineStr">
        <is>
          <t>Contabilidad</t>
        </is>
      </c>
      <c r="C52" s="16" t="inlineStr">
        <is>
          <t>pantalla_plan_cuentas.html</t>
        </is>
      </c>
      <c r="D52" s="16" t="inlineStr">
        <is>
          <t>Crear cuenta contable</t>
        </is>
      </c>
      <c r="E52" s="16" t="inlineStr">
        <is>
          <t>Sesión con permiso</t>
        </is>
      </c>
      <c r="F52" s="16" t="inlineStr">
        <is>
          <t>Crear cuenta hija con código válido.</t>
        </is>
      </c>
      <c r="G52" s="16" t="inlineStr">
        <is>
          <t>Cuenta creada y disponible en asientos.</t>
        </is>
      </c>
      <c r="H52" s="15" t="inlineStr">
        <is>
          <t>Pendiente</t>
        </is>
      </c>
      <c r="I52" s="16" t="n"/>
      <c r="J52" s="15" t="n"/>
      <c r="K52" s="17" t="n"/>
      <c r="L52" s="16" t="n"/>
    </row>
    <row r="53">
      <c r="A53" s="15" t="inlineStr">
        <is>
          <t>QA-052</t>
        </is>
      </c>
      <c r="B53" s="16" t="inlineStr">
        <is>
          <t>Contabilidad</t>
        </is>
      </c>
      <c r="C53" s="16" t="inlineStr">
        <is>
          <t>pantalla_plan_cuentas.html</t>
        </is>
      </c>
      <c r="D53" s="16" t="inlineStr">
        <is>
          <t>Cuenta duplicada</t>
        </is>
      </c>
      <c r="E53" s="16" t="inlineStr">
        <is>
          <t>Cuenta existente</t>
        </is>
      </c>
      <c r="F53" s="16" t="inlineStr">
        <is>
          <t>Crear cuenta con el mismo código.</t>
        </is>
      </c>
      <c r="G53" s="16" t="inlineStr">
        <is>
          <t>Rechaza con mensaje claro.</t>
        </is>
      </c>
      <c r="H53" s="15" t="inlineStr">
        <is>
          <t>Pendiente</t>
        </is>
      </c>
      <c r="I53" s="16" t="n"/>
      <c r="J53" s="15" t="n"/>
      <c r="K53" s="17" t="n"/>
      <c r="L53" s="16" t="n"/>
    </row>
    <row r="54">
      <c r="A54" s="15" t="inlineStr">
        <is>
          <t>QA-053</t>
        </is>
      </c>
      <c r="B54" s="16" t="inlineStr">
        <is>
          <t>Contabilidad</t>
        </is>
      </c>
      <c r="C54" s="16" t="inlineStr">
        <is>
          <t>pantalla_libro_diario.html</t>
        </is>
      </c>
      <c r="D54" s="16" t="inlineStr">
        <is>
          <t>Asientos automáticos en libro diario</t>
        </is>
      </c>
      <c r="E54" s="16" t="inlineStr">
        <is>
          <t>Se hicieron ventas/compras</t>
        </is>
      </c>
      <c r="F54" s="16" t="inlineStr">
        <is>
          <t>Abrir libro diario.</t>
        </is>
      </c>
      <c r="G54" s="16" t="inlineStr">
        <is>
          <t>Cada operación tiene asiento cuadrado (Debe = Haber).</t>
        </is>
      </c>
      <c r="H54" s="15" t="inlineStr">
        <is>
          <t>Pendiente</t>
        </is>
      </c>
      <c r="I54" s="16" t="n"/>
      <c r="J54" s="15" t="n"/>
      <c r="K54" s="17" t="n"/>
      <c r="L54" s="16" t="n"/>
    </row>
    <row r="55">
      <c r="A55" s="15" t="inlineStr">
        <is>
          <t>QA-054</t>
        </is>
      </c>
      <c r="B55" s="16" t="inlineStr">
        <is>
          <t>Contabilidad</t>
        </is>
      </c>
      <c r="C55" s="16" t="inlineStr">
        <is>
          <t>pantalla_libro_diario.html</t>
        </is>
      </c>
      <c r="D55" s="16" t="inlineStr">
        <is>
          <t>Asiento manual cuadrado</t>
        </is>
      </c>
      <c r="E55" s="16" t="inlineStr">
        <is>
          <t>Sesión con permiso</t>
        </is>
      </c>
      <c r="F55" s="16" t="inlineStr">
        <is>
          <t>Crear asiento manual con Debe = Haber.</t>
        </is>
      </c>
      <c r="G55" s="16" t="inlineStr">
        <is>
          <t>Se guarda y afecta saldos.</t>
        </is>
      </c>
      <c r="H55" s="15" t="inlineStr">
        <is>
          <t>Pendiente</t>
        </is>
      </c>
      <c r="I55" s="16" t="n"/>
      <c r="J55" s="15" t="n"/>
      <c r="K55" s="17" t="n"/>
      <c r="L55" s="16" t="n"/>
    </row>
    <row r="56">
      <c r="A56" s="15" t="inlineStr">
        <is>
          <t>QA-055</t>
        </is>
      </c>
      <c r="B56" s="16" t="inlineStr">
        <is>
          <t>Contabilidad</t>
        </is>
      </c>
      <c r="C56" s="16" t="inlineStr">
        <is>
          <t>pantalla_libro_diario.html</t>
        </is>
      </c>
      <c r="D56" s="16" t="inlineStr">
        <is>
          <t>Asiento manual descuadrado</t>
        </is>
      </c>
      <c r="E56" s="16" t="inlineStr">
        <is>
          <t>—</t>
        </is>
      </c>
      <c r="F56" s="16" t="inlineStr">
        <is>
          <t>Crear asiento con Debe ≠ Haber.</t>
        </is>
      </c>
      <c r="G56" s="16" t="inlineStr">
        <is>
          <t>Bloquea el guardado con mensaje.</t>
        </is>
      </c>
      <c r="H56" s="15" t="inlineStr">
        <is>
          <t>Pendiente</t>
        </is>
      </c>
      <c r="I56" s="16" t="n"/>
      <c r="J56" s="15" t="n"/>
      <c r="K56" s="17" t="n"/>
      <c r="L56" s="16" t="n"/>
    </row>
    <row r="57">
      <c r="A57" s="15" t="inlineStr">
        <is>
          <t>QA-056</t>
        </is>
      </c>
      <c r="B57" s="16" t="inlineStr">
        <is>
          <t>Contabilidad</t>
        </is>
      </c>
      <c r="C57" s="16" t="inlineStr">
        <is>
          <t>pantalla_libro_mayor.html</t>
        </is>
      </c>
      <c r="D57" s="16" t="inlineStr">
        <is>
          <t>Libro mayor por cuenta</t>
        </is>
      </c>
      <c r="E57" s="16" t="inlineStr">
        <is>
          <t>Cuenta con movimientos</t>
        </is>
      </c>
      <c r="F57" s="16" t="inlineStr">
        <is>
          <t>Elegir cuenta y rango.</t>
        </is>
      </c>
      <c r="G57" s="16" t="inlineStr">
        <is>
          <t>Movimientos y saldo coinciden con el libro diario.</t>
        </is>
      </c>
      <c r="H57" s="15" t="inlineStr">
        <is>
          <t>Pendiente</t>
        </is>
      </c>
      <c r="I57" s="16" t="n"/>
      <c r="J57" s="15" t="n"/>
      <c r="K57" s="17" t="n"/>
      <c r="L57" s="16" t="n"/>
    </row>
    <row r="58">
      <c r="A58" s="15" t="inlineStr">
        <is>
          <t>QA-057</t>
        </is>
      </c>
      <c r="B58" s="16" t="inlineStr">
        <is>
          <t>Contabilidad</t>
        </is>
      </c>
      <c r="C58" s="16" t="inlineStr">
        <is>
          <t>pantalla_periodos_contables.html</t>
        </is>
      </c>
      <c r="D58" s="16" t="inlineStr">
        <is>
          <t>Cerrar período contable</t>
        </is>
      </c>
      <c r="E58" s="16" t="inlineStr">
        <is>
          <t>Período abierto</t>
        </is>
      </c>
      <c r="F58" s="16" t="inlineStr">
        <is>
          <t>Cerrar período e intentar registrar operación en él.</t>
        </is>
      </c>
      <c r="G58" s="16" t="inlineStr">
        <is>
          <t>Rechaza operaciones en período cerrado.</t>
        </is>
      </c>
      <c r="H58" s="15" t="inlineStr">
        <is>
          <t>Pendiente</t>
        </is>
      </c>
      <c r="I58" s="16" t="n"/>
      <c r="J58" s="15" t="n"/>
      <c r="K58" s="17" t="n"/>
      <c r="L58" s="16" t="n"/>
    </row>
    <row r="59">
      <c r="A59" s="15" t="inlineStr">
        <is>
          <t>QA-058</t>
        </is>
      </c>
      <c r="B59" s="16" t="inlineStr">
        <is>
          <t>Contabilidad</t>
        </is>
      </c>
      <c r="C59" s="16" t="inlineStr">
        <is>
          <t>pantalla_estados_financieros.html</t>
        </is>
      </c>
      <c r="D59" s="16" t="inlineStr">
        <is>
          <t>Balance y estado de resultados</t>
        </is>
      </c>
      <c r="E59" s="16" t="inlineStr">
        <is>
          <t>Hay asientos</t>
        </is>
      </c>
      <c r="F59" s="16" t="inlineStr">
        <is>
          <t>Abrir estados financieros.</t>
        </is>
      </c>
      <c r="G59" s="16" t="inlineStr">
        <is>
          <t>Activos = Pasivos + Patrimonio; resultados coherentes.</t>
        </is>
      </c>
      <c r="H59" s="15" t="inlineStr">
        <is>
          <t>Pendiente</t>
        </is>
      </c>
      <c r="I59" s="16" t="n"/>
      <c r="J59" s="15" t="n"/>
      <c r="K59" s="17" t="n"/>
      <c r="L59" s="16" t="n"/>
    </row>
    <row r="60">
      <c r="A60" s="15" t="inlineStr">
        <is>
          <t>QA-059</t>
        </is>
      </c>
      <c r="B60" s="16" t="inlineStr">
        <is>
          <t>Contabilidad</t>
        </is>
      </c>
      <c r="C60" s="16" t="inlineStr">
        <is>
          <t>pantalla_reportes_contabilidad.html</t>
        </is>
      </c>
      <c r="D60" s="16" t="inlineStr">
        <is>
          <t>Reportes de contabilidad</t>
        </is>
      </c>
      <c r="E60" s="16" t="inlineStr">
        <is>
          <t>Hay asientos</t>
        </is>
      </c>
      <c r="F60" s="16" t="inlineStr">
        <is>
          <t>Abrir reportes y filtrar.</t>
        </is>
      </c>
      <c r="G60" s="16" t="inlineStr">
        <is>
          <t>Totales coinciden con libro diario.</t>
        </is>
      </c>
      <c r="H60" s="15" t="inlineStr">
        <is>
          <t>Pendiente</t>
        </is>
      </c>
      <c r="I60" s="16" t="n"/>
      <c r="J60" s="15" t="n"/>
      <c r="K60" s="17" t="n"/>
      <c r="L60" s="16" t="n"/>
    </row>
    <row r="61">
      <c r="A61" s="15" t="inlineStr">
        <is>
          <t>QA-060</t>
        </is>
      </c>
      <c r="B61" s="16" t="inlineStr">
        <is>
          <t>Integración contable</t>
        </is>
      </c>
      <c r="C61" s="16" t="inlineStr">
        <is>
          <t>pantalla_configuracion_integracion.html</t>
        </is>
      </c>
      <c r="D61" s="16" t="inlineStr">
        <is>
          <t>Abrir pantalla sin error</t>
        </is>
      </c>
      <c r="E61" s="16" t="inlineStr">
        <is>
          <t>Sesión admin</t>
        </is>
      </c>
      <c r="F61" s="16" t="inlineStr">
        <is>
          <t>Abrir la pantalla (Ctrl+F5).</t>
        </is>
      </c>
      <c r="G61" s="16" t="inlineStr">
        <is>
          <t>Carga sin errores; antes fallaba por /api/integracion/matriz (corregido).</t>
        </is>
      </c>
      <c r="H61" s="15" t="inlineStr">
        <is>
          <t>Pendiente</t>
        </is>
      </c>
      <c r="I61" s="16" t="n"/>
      <c r="J61" s="15" t="n"/>
      <c r="K61" s="17" t="n"/>
      <c r="L61" s="16" t="n"/>
    </row>
    <row r="62">
      <c r="A62" s="15" t="inlineStr">
        <is>
          <t>QA-061</t>
        </is>
      </c>
      <c r="B62" s="16" t="inlineStr">
        <is>
          <t>Integración contable</t>
        </is>
      </c>
      <c r="C62" s="16" t="inlineStr">
        <is>
          <t>pantalla_configuracion_integracion.html</t>
        </is>
      </c>
      <c r="D62" s="16" t="inlineStr">
        <is>
          <t>Matriz de integración visible</t>
        </is>
      </c>
      <c r="E62" s="16" t="inlineStr">
        <is>
          <t>—</t>
        </is>
      </c>
      <c r="F62" s="16" t="inlineStr">
        <is>
          <t>Revisar la tabla de matriz.</t>
        </is>
      </c>
      <c r="G62" s="16" t="inlineStr">
        <is>
          <t>Muestra módulo, operación, cuentas Debe/Haber ordenadas por módulo.</t>
        </is>
      </c>
      <c r="H62" s="15" t="inlineStr">
        <is>
          <t>Pendiente</t>
        </is>
      </c>
      <c r="I62" s="16" t="n"/>
      <c r="J62" s="15" t="n"/>
      <c r="K62" s="17" t="n"/>
      <c r="L62" s="16" t="n"/>
    </row>
    <row r="63">
      <c r="A63" s="15" t="inlineStr">
        <is>
          <t>QA-062</t>
        </is>
      </c>
      <c r="B63" s="16" t="inlineStr">
        <is>
          <t>Integración contable</t>
        </is>
      </c>
      <c r="C63" s="16" t="inlineStr">
        <is>
          <t>pantalla_configuracion_integracion.html</t>
        </is>
      </c>
      <c r="D63" s="16" t="inlineStr">
        <is>
          <t>Estado de centralización</t>
        </is>
      </c>
      <c r="E63" s="16" t="inlineStr">
        <is>
          <t>—</t>
        </is>
      </c>
      <c r="F63" s="16" t="inlineStr">
        <is>
          <t>Revisar indicadores de estado.</t>
        </is>
      </c>
      <c r="G63" s="16" t="inlineStr">
        <is>
          <t>BD conectada; descuadrados = 0; ventas/facturas sin asiento = 0.</t>
        </is>
      </c>
      <c r="H63" s="15" t="inlineStr">
        <is>
          <t>Pendiente</t>
        </is>
      </c>
      <c r="I63" s="16" t="n"/>
      <c r="J63" s="15" t="n"/>
      <c r="K63" s="17" t="n"/>
      <c r="L63" s="16" t="n"/>
    </row>
    <row r="64">
      <c r="A64" s="15" t="inlineStr">
        <is>
          <t>QA-063</t>
        </is>
      </c>
      <c r="B64" s="16" t="inlineStr">
        <is>
          <t>Integración contable</t>
        </is>
      </c>
      <c r="C64" s="16" t="inlineStr">
        <is>
          <t>pantalla_configuracion_integracion.html</t>
        </is>
      </c>
      <c r="D64" s="16" t="inlineStr">
        <is>
          <t>Editar cuentas de una operación</t>
        </is>
      </c>
      <c r="E64" s="16" t="inlineStr">
        <is>
          <t>Sesión con permiso de escritura</t>
        </is>
      </c>
      <c r="F64" s="16" t="inlineStr">
        <is>
          <t>Cambiar cuenta Debe/Haber de una fila.</t>
        </is>
      </c>
      <c r="G64" s="16" t="inlineStr">
        <is>
          <t>Se guarda; asientos nuevos usan la cuenta actualizada.</t>
        </is>
      </c>
      <c r="H64" s="15" t="inlineStr">
        <is>
          <t>Pendiente</t>
        </is>
      </c>
      <c r="I64" s="16" t="n"/>
      <c r="J64" s="15" t="n"/>
      <c r="K64" s="17" t="n"/>
      <c r="L64" s="16" t="n"/>
    </row>
    <row r="65">
      <c r="A65" s="15" t="inlineStr">
        <is>
          <t>QA-064</t>
        </is>
      </c>
      <c r="B65" s="16" t="inlineStr">
        <is>
          <t>Integración contable</t>
        </is>
      </c>
      <c r="C65" s="16" t="inlineStr">
        <is>
          <t>pantalla_configuracion_integracion.html</t>
        </is>
      </c>
      <c r="D65" s="16" t="inlineStr">
        <is>
          <t>Cuentas Debe y Haber iguales</t>
        </is>
      </c>
      <c r="E65" s="16" t="inlineStr">
        <is>
          <t>—</t>
        </is>
      </c>
      <c r="F65" s="16" t="inlineStr">
        <is>
          <t>Intentar guardar misma cuenta en ambos lados.</t>
        </is>
      </c>
      <c r="G65" s="16" t="inlineStr">
        <is>
          <t>Rechaza con mensaje claro.</t>
        </is>
      </c>
      <c r="H65" s="15" t="inlineStr">
        <is>
          <t>Pendiente</t>
        </is>
      </c>
      <c r="I65" s="16" t="n"/>
      <c r="J65" s="15" t="n"/>
      <c r="K65" s="17" t="n"/>
      <c r="L65" s="16" t="n"/>
    </row>
    <row r="66">
      <c r="A66" s="15" t="inlineStr">
        <is>
          <t>QA-065</t>
        </is>
      </c>
      <c r="B66" s="16" t="inlineStr">
        <is>
          <t>Integración contable</t>
        </is>
      </c>
      <c r="C66" s="16" t="inlineStr">
        <is>
          <t>pantalla_configuracion_integracion.html</t>
        </is>
      </c>
      <c r="D66" s="16" t="inlineStr">
        <is>
          <t>Cuenta inactiva / sin movimiento</t>
        </is>
      </c>
      <c r="E66" s="16" t="inlineStr">
        <is>
          <t>Cuenta inactiva existe</t>
        </is>
      </c>
      <c r="F66" s="16" t="inlineStr">
        <is>
          <t>Seleccionar esa cuenta.</t>
        </is>
      </c>
      <c r="G66" s="16" t="inlineStr">
        <is>
          <t>Rechaza con mensaje claro.</t>
        </is>
      </c>
      <c r="H66" s="15" t="inlineStr">
        <is>
          <t>Pendiente</t>
        </is>
      </c>
      <c r="I66" s="16" t="n"/>
      <c r="J66" s="15" t="n"/>
      <c r="K66" s="17" t="n"/>
      <c r="L66" s="16" t="n"/>
    </row>
    <row r="67">
      <c r="A67" s="15" t="inlineStr">
        <is>
          <t>QA-066</t>
        </is>
      </c>
      <c r="B67" s="16" t="inlineStr">
        <is>
          <t>Flujo E2E</t>
        </is>
      </c>
      <c r="C67" s="16" t="inlineStr">
        <is>
          <t>Varias</t>
        </is>
      </c>
      <c r="D67" s="16" t="inlineStr">
        <is>
          <t>E2E 1: Compra → Stock → Venta → Contabilidad</t>
        </is>
      </c>
      <c r="E67" s="16" t="inlineStr">
        <is>
          <t>Proveedor, cliente y producto creados</t>
        </is>
      </c>
      <c r="F67" s="16" t="inlineStr">
        <is>
          <t>1. Crear OC. 2. Recepcionar. 3. Facturar compra. 4. Vender el producto al contado. 5. Revisar Kardex, libro diario y balance.</t>
        </is>
      </c>
      <c r="G67" s="16" t="inlineStr">
        <is>
          <t>Stock final correcto; asientos de compra, venta y costo cuadrados; balance coherente.</t>
        </is>
      </c>
      <c r="H67" s="15" t="inlineStr">
        <is>
          <t>Pendiente</t>
        </is>
      </c>
      <c r="I67" s="16" t="n"/>
      <c r="J67" s="15" t="n"/>
      <c r="K67" s="17" t="n"/>
      <c r="L67" s="16" t="n"/>
    </row>
    <row r="68">
      <c r="A68" s="15" t="inlineStr">
        <is>
          <t>QA-067</t>
        </is>
      </c>
      <c r="B68" s="16" t="inlineStr">
        <is>
          <t>Flujo E2E</t>
        </is>
      </c>
      <c r="C68" s="16" t="inlineStr">
        <is>
          <t>Varias</t>
        </is>
      </c>
      <c r="D68" s="16" t="inlineStr">
        <is>
          <t>E2E 2: Venta a crédito → Cobranza</t>
        </is>
      </c>
      <c r="E68" s="16" t="inlineStr">
        <is>
          <t>Cliente con crédito</t>
        </is>
      </c>
      <c r="F68" s="16" t="inlineStr">
        <is>
          <t>1. Venta a crédito. 2. Abono parcial. 3. Pago final. 4. Revisar mayor de Clientes.</t>
        </is>
      </c>
      <c r="G68" s="16" t="inlineStr">
        <is>
          <t>Saldo de cliente en 0; mayor Clientes coincide con cobranzas.</t>
        </is>
      </c>
      <c r="H68" s="15" t="inlineStr">
        <is>
          <t>Pendiente</t>
        </is>
      </c>
      <c r="I68" s="16" t="n"/>
      <c r="J68" s="15" t="n"/>
      <c r="K68" s="17" t="n"/>
      <c r="L68" s="16" t="n"/>
    </row>
    <row r="69">
      <c r="A69" s="15" t="inlineStr">
        <is>
          <t>QA-068</t>
        </is>
      </c>
      <c r="B69" s="16" t="inlineStr">
        <is>
          <t>Flujo E2E</t>
        </is>
      </c>
      <c r="C69" s="16" t="inlineStr">
        <is>
          <t>Varias</t>
        </is>
      </c>
      <c r="D69" s="16" t="inlineStr">
        <is>
          <t>E2E 3: Anulaciones</t>
        </is>
      </c>
      <c r="E69" s="16" t="inlineStr">
        <is>
          <t>Venta y compra emitidas</t>
        </is>
      </c>
      <c r="F69" s="16" t="inlineStr">
        <is>
          <t>Anular venta y factura de compra.</t>
        </is>
      </c>
      <c r="G69" s="16" t="inlineStr">
        <is>
          <t>Stock y contabilidad vuelven al estado previo.</t>
        </is>
      </c>
      <c r="H69" s="15" t="inlineStr">
        <is>
          <t>Pendiente</t>
        </is>
      </c>
      <c r="I69" s="16" t="n"/>
      <c r="J69" s="15" t="n"/>
      <c r="K69" s="17" t="n"/>
      <c r="L69" s="16" t="n"/>
    </row>
    <row r="70">
      <c r="A70" s="15" t="inlineStr">
        <is>
          <t>QA-069</t>
        </is>
      </c>
      <c r="B70" s="16" t="inlineStr">
        <is>
          <t>Flujo E2E</t>
        </is>
      </c>
      <c r="C70" s="16" t="inlineStr">
        <is>
          <t>Varias</t>
        </is>
      </c>
      <c r="D70" s="16" t="inlineStr">
        <is>
          <t>E2E 4: Navegación completa</t>
        </is>
      </c>
      <c r="E70" s="16" t="inlineStr">
        <is>
          <t>Sesión admin</t>
        </is>
      </c>
      <c r="F70" s="16" t="inlineStr">
        <is>
          <t>Recorrer todas las opciones de la navbar.</t>
        </is>
      </c>
      <c r="G70" s="16" t="inlineStr">
        <is>
          <t>Ninguna pantalla muestra error ni consola con errores rojos.</t>
        </is>
      </c>
      <c r="H70" s="15" t="inlineStr">
        <is>
          <t>Pendiente</t>
        </is>
      </c>
      <c r="I70" s="16" t="n"/>
      <c r="J70" s="15" t="n"/>
      <c r="K70" s="17" t="n"/>
      <c r="L70" s="16" t="n"/>
    </row>
  </sheetData>
  <autoFilter ref="A1:L70"/>
  <conditionalFormatting sqref="H2:H70">
    <cfRule type="cellIs" priority="1" operator="equal" dxfId="1">
      <formula>"Listo"</formula>
    </cfRule>
    <cfRule type="cellIs" priority="2" operator="equal" dxfId="2">
      <formula>"En proceso"</formula>
    </cfRule>
    <cfRule type="cellIs" priority="3" operator="equal" dxfId="0">
      <formula>"Falla"</formula>
    </cfRule>
    <cfRule type="cellIs" priority="4" operator="equal" dxfId="3">
      <formula>"Pendiente"</formula>
    </cfRule>
  </conditionalFormatting>
  <dataValidations count="2">
    <dataValidation sqref="H2:H70" showDropDown="0" showInputMessage="0" showErrorMessage="1" allowBlank="0" errorTitle="Estado inválido" error="Elige: Pendiente, En proceso, Listo o Falla." type="list">
      <formula1>"Pendiente,En proceso,Listo,Falla"</formula1>
    </dataValidation>
    <dataValidation sqref="K2:K70" showDropDown="0" showInputMessage="0" showErrorMessage="1" allowBlank="1" errorTitle="Fecha inválida" error="Ingresa una fecha (aaaa-mm-dd).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2026-10-29T13:57:31Z</dcterms:created>
  <dcterms:modified xsi:type="dcterms:W3CDTF">2026-10-29T13:57:31Z</dcterms:modified>
</cp:coreProperties>
</file>